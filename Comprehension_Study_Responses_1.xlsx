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d.docs.live.net/17dbe19213cf2537/University of London/Y4S2/Project/Code/"/>
    </mc:Choice>
  </mc:AlternateContent>
  <xr:revisionPtr revIDLastSave="2" documentId="11_6470667BC7A3FD495F924C7D645F16E9B698EAD6" xr6:coauthVersionLast="47" xr6:coauthVersionMax="47" xr10:uidLastSave="{279084FB-AF53-E74B-80B4-00A231A68017}"/>
  <bookViews>
    <workbookView xWindow="0" yWindow="680" windowWidth="34200" windowHeight="20020" tabRatio="500" activeTab="2" xr2:uid="{00000000-000D-0000-FFFF-FFFF00000000}"/>
  </bookViews>
  <sheets>
    <sheet name="Instructions" sheetId="1" r:id="rId1"/>
    <sheet name="AnswerKey" sheetId="2" r:id="rId2"/>
    <sheet name="Response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4" l="1"/>
  <c r="D15" i="4"/>
  <c r="E14" i="4"/>
  <c r="D14" i="4"/>
  <c r="E13" i="4"/>
  <c r="D13" i="4"/>
  <c r="E12" i="4"/>
  <c r="D12" i="4"/>
  <c r="E11" i="4"/>
  <c r="D11" i="4"/>
  <c r="E10" i="4"/>
  <c r="D10" i="4"/>
  <c r="B7" i="4"/>
  <c r="B6" i="4"/>
  <c r="B5" i="4"/>
  <c r="B2" i="4"/>
  <c r="N73" i="3"/>
  <c r="M73" i="3"/>
  <c r="L73" i="3"/>
  <c r="K73" i="3"/>
  <c r="N72" i="3"/>
  <c r="M72" i="3"/>
  <c r="L72" i="3"/>
  <c r="K72" i="3"/>
  <c r="N71" i="3"/>
  <c r="M71" i="3"/>
  <c r="L71" i="3"/>
  <c r="K71" i="3"/>
  <c r="N70" i="3"/>
  <c r="M70" i="3"/>
  <c r="L70" i="3"/>
  <c r="K70" i="3"/>
  <c r="N69" i="3"/>
  <c r="M69" i="3"/>
  <c r="L69" i="3"/>
  <c r="K69" i="3"/>
  <c r="N68" i="3"/>
  <c r="M68" i="3"/>
  <c r="L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M64" i="3"/>
  <c r="L64" i="3"/>
  <c r="K64" i="3"/>
  <c r="N63" i="3"/>
  <c r="M63" i="3"/>
  <c r="L63" i="3"/>
  <c r="K63" i="3"/>
  <c r="N62" i="3"/>
  <c r="M62" i="3"/>
  <c r="L62" i="3"/>
  <c r="K62" i="3"/>
  <c r="N61" i="3"/>
  <c r="M61" i="3"/>
  <c r="L61" i="3"/>
  <c r="K61" i="3"/>
  <c r="N60" i="3"/>
  <c r="M60" i="3"/>
  <c r="L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M56" i="3"/>
  <c r="L56" i="3"/>
  <c r="K56" i="3"/>
  <c r="N55" i="3"/>
  <c r="M55" i="3"/>
  <c r="L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L42" i="3"/>
  <c r="K42" i="3"/>
  <c r="N41" i="3"/>
  <c r="M41" i="3"/>
  <c r="L41" i="3"/>
  <c r="K41" i="3"/>
  <c r="N40" i="3"/>
  <c r="M40" i="3"/>
  <c r="L40" i="3"/>
  <c r="K40" i="3"/>
  <c r="N39" i="3"/>
  <c r="M39" i="3"/>
  <c r="L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B12" i="4" s="1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D5" i="4" s="1"/>
  <c r="K2" i="3"/>
  <c r="B10" i="4" l="1"/>
  <c r="B15" i="4"/>
  <c r="B14" i="4"/>
  <c r="B11" i="4"/>
  <c r="C12" i="4"/>
  <c r="C11" i="4"/>
  <c r="C10" i="4"/>
  <c r="C15" i="4"/>
  <c r="C14" i="4"/>
  <c r="B13" i="4"/>
  <c r="C13" i="4"/>
  <c r="D2" i="4"/>
  <c r="B3" i="4"/>
  <c r="C6" i="4"/>
  <c r="C3" i="4"/>
  <c r="D6" i="4"/>
  <c r="D3" i="4"/>
  <c r="B4" i="4"/>
  <c r="C7" i="4"/>
  <c r="C4" i="4"/>
  <c r="D7" i="4"/>
  <c r="C5" i="4"/>
  <c r="D4" i="4"/>
  <c r="C2" i="4"/>
</calcChain>
</file>

<file path=xl/sharedStrings.xml><?xml version="1.0" encoding="utf-8"?>
<sst xmlns="http://schemas.openxmlformats.org/spreadsheetml/2006/main" count="733" uniqueCount="85">
  <si>
    <t>Comprehension study - explanation layer (CM3070 report, Section 5.3)</t>
  </si>
  <si>
    <t>What to do</t>
  </si>
  <si>
    <t>1. Give each participant the Participant Sheet (six messages S1-S6). Do not tell them which messages came from the language model.</t>
  </si>
  <si>
    <t>2. Read the four questions below to them (or let them read); record their answers in the Responses sheet, one row per participant per message.</t>
  </si>
  <si>
    <t>3. Yellow cells are the ones to fill in. Use the drop-downs. Q2 is tick-all-that-apply: enter Y or N in each of the five columns.</t>
  </si>
  <si>
    <t>4. Target 12 participants (minimum 10). 12 x 6 messages = 72 rated explanations, 36 per path. About 10 minutes per participant.</t>
  </si>
  <si>
    <t>5. Participants: adults, 18+, not finance professionals. Collect no names or personal data; use P01, P02, ... only. Their real investments are irrelevant: each message states a pretend scenario ('you currently hold / do not hold these shares') and they answer as that person.</t>
  </si>
  <si>
    <t>6. The Summary sheet updates automatically. Send the completed file back for write-up.</t>
  </si>
  <si>
    <t>Questions asked for EACH message</t>
  </si>
  <si>
    <t>Q1  What is the advisor telling you to do?  [Buy / Sell / Hold-do nothing / Not sure]</t>
  </si>
  <si>
    <t>Q2  Which of these reasons does the message give? Tick all that apply:</t>
  </si>
  <si>
    <t xml:space="preserve">      (a) the direction of the price trend / moving averages   (b) RSI or momentum   (c) whether you (in the pretend scenario) hold the shares</t>
  </si>
  <si>
    <t xml:space="preserve">      (d) a prediction of where the price will go, or a price target   (e) company news or events</t>
  </si>
  <si>
    <t xml:space="preserve">      [(d) and (e) are distractors: the system never says these. A tick on (d)/(e) means the explanation implied something it should not.]</t>
  </si>
  <si>
    <t>Q3  Does the advice sound certain about what the market will do next, or conditional / cautious?  [Certain / Conditional / Cannot tell]</t>
  </si>
  <si>
    <t>Q4  How easy was the message to understand?  1 = very hard ... 5 = very easy</t>
  </si>
  <si>
    <t>Script to reproduce the six messages: python scripts/make_study_stimuli.py  (Ollama must be running for S2, S4, S6).</t>
  </si>
  <si>
    <t>Message</t>
  </si>
  <si>
    <t>Correct action (Q1)</t>
  </si>
  <si>
    <t>Path</t>
  </si>
  <si>
    <t>Notes</t>
  </si>
  <si>
    <t>S1</t>
  </si>
  <si>
    <t>HOLD</t>
  </si>
  <si>
    <t>template</t>
  </si>
  <si>
    <t>Do not show this sheet to participants</t>
  </si>
  <si>
    <t>S2</t>
  </si>
  <si>
    <t>BUY</t>
  </si>
  <si>
    <t>llm</t>
  </si>
  <si>
    <t>S3</t>
  </si>
  <si>
    <t>SELL</t>
  </si>
  <si>
    <t>S4</t>
  </si>
  <si>
    <t>S5</t>
  </si>
  <si>
    <t>S6</t>
  </si>
  <si>
    <t>Participant</t>
  </si>
  <si>
    <t>Q1 action</t>
  </si>
  <si>
    <t>Q2a trend</t>
  </si>
  <si>
    <t>Q2b RSI</t>
  </si>
  <si>
    <t>Q2c holding</t>
  </si>
  <si>
    <t>Q2d prediction (distractor)</t>
  </si>
  <si>
    <t>Q2e news (distractor)</t>
  </si>
  <si>
    <t>Q3 certainty</t>
  </si>
  <si>
    <t>Q4 clarity 1-5</t>
  </si>
  <si>
    <t>Correct action</t>
  </si>
  <si>
    <t>Q1 correct?</t>
  </si>
  <si>
    <t>Distractor ticked?</t>
  </si>
  <si>
    <t>P01</t>
  </si>
  <si>
    <t>Hold</t>
  </si>
  <si>
    <t>Y</t>
  </si>
  <si>
    <t>N</t>
  </si>
  <si>
    <t>Conditional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</si>
  <si>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</si>
  <si>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</si>
  <si>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</si>
  <si>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</si>
  <si>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</si>
  <si>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</si>
  <si>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</si>
  <si>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</si>
  <si>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</si>
  <si>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</si>
  <si>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</si>
  <si>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Legend: yellow cells = enter participant answers (blue text). Grey-header columns K-N are formulas; do not edit. Row P01/S1 is an example - overwrite it with real data.</t>
  </si>
  <si>
    <t>Measure</t>
  </si>
  <si>
    <t>All</t>
  </si>
  <si>
    <t>LLM path</t>
  </si>
  <si>
    <t>Template path</t>
  </si>
  <si>
    <t>Responses recorded</t>
  </si>
  <si>
    <t>Q1 action extracted correctly (%)</t>
  </si>
  <si>
    <t>Primary comprehension measure (aim A4)</t>
  </si>
  <si>
    <t>Q2 ticked a distractor - prediction or news (%)</t>
  </si>
  <si>
    <t>Lower is better: measures whether the text implies claims the system never makes</t>
  </si>
  <si>
    <t>Q3 read as 'Certain' (%)</t>
  </si>
  <si>
    <t>The over-claiming failure mode Section 2.5 predicts; lower is better</t>
  </si>
  <si>
    <t>Q3 read as 'Conditional' (%)</t>
  </si>
  <si>
    <t>Q4 mean clarity (1-5)</t>
  </si>
  <si>
    <t>Per message</t>
  </si>
  <si>
    <t>Q1 correct (%)</t>
  </si>
  <si>
    <t>Distractor (%)</t>
  </si>
  <si>
    <t>Certain (%)</t>
  </si>
  <si>
    <t>Mean clarity</t>
  </si>
  <si>
    <t>Buy</t>
  </si>
  <si>
    <t>Sell</t>
  </si>
  <si>
    <t>Certain</t>
  </si>
  <si>
    <t>Cannot tell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</si>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</sst>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3" fillId="0" borderId="0" xfId="0" applyFont="1"/>
    <xf numFmtId="9" fontId="2" fillId="0" borderId="0" xfId="0" applyNumberFormat="1" applyFont="1"/>
    <xf numFmtId="0" fontId="2" fillId="2" borderId="0" xfId="0" applyFont="1" applyFill="1"/>
    <xf numFmtId="9" fontId="2" fillId="2" borderId="0" xfId="0" applyNumberFormat="1" applyFont="1" applyFill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130" customWidth="1"/>
  </cols>
  <sheetData>
    <row r="1" spans="1:1" ht="1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1" t="s">
        <v>1</v>
      </c>
    </row>
    <row r="4" spans="1:1" ht="15" customHeight="1" x14ac:dyDescent="0.2">
      <c r="A4" s="2" t="s">
        <v>2</v>
      </c>
    </row>
    <row r="5" spans="1:1" ht="15" customHeight="1" x14ac:dyDescent="0.2">
      <c r="A5" s="2" t="s">
        <v>3</v>
      </c>
    </row>
    <row r="6" spans="1:1" ht="15" customHeight="1" x14ac:dyDescent="0.2">
      <c r="A6" s="2" t="s">
        <v>4</v>
      </c>
    </row>
    <row r="7" spans="1:1" ht="15" customHeight="1" x14ac:dyDescent="0.2">
      <c r="A7" s="2" t="s">
        <v>5</v>
      </c>
    </row>
    <row r="8" spans="1:1" ht="15" customHeight="1" x14ac:dyDescent="0.2">
      <c r="A8" s="2" t="s">
        <v>6</v>
      </c>
    </row>
    <row r="9" spans="1:1" ht="15" customHeight="1" x14ac:dyDescent="0.2">
      <c r="A9" s="2" t="s">
        <v>7</v>
      </c>
    </row>
    <row r="10" spans="1:1" ht="15" customHeight="1" x14ac:dyDescent="0.2">
      <c r="A10" s="2"/>
    </row>
    <row r="11" spans="1:1" ht="15" customHeight="1" x14ac:dyDescent="0.2">
      <c r="A11" s="1" t="s">
        <v>8</v>
      </c>
    </row>
    <row r="12" spans="1:1" ht="15" customHeight="1" x14ac:dyDescent="0.2">
      <c r="A12" s="2" t="s">
        <v>9</v>
      </c>
    </row>
    <row r="13" spans="1:1" ht="15" customHeight="1" x14ac:dyDescent="0.2">
      <c r="A13" s="2" t="s">
        <v>10</v>
      </c>
    </row>
    <row r="14" spans="1:1" ht="15" customHeight="1" x14ac:dyDescent="0.2">
      <c r="A14" s="2" t="s">
        <v>11</v>
      </c>
    </row>
    <row r="15" spans="1:1" ht="15" customHeight="1" x14ac:dyDescent="0.2">
      <c r="A15" s="2" t="s">
        <v>12</v>
      </c>
    </row>
    <row r="16" spans="1:1" ht="15" customHeight="1" x14ac:dyDescent="0.2">
      <c r="A16" s="2" t="s">
        <v>13</v>
      </c>
    </row>
    <row r="17" spans="1:1" ht="15" customHeight="1" x14ac:dyDescent="0.2">
      <c r="A17" s="2" t="s">
        <v>14</v>
      </c>
    </row>
    <row r="18" spans="1:1" ht="15" customHeight="1" x14ac:dyDescent="0.2">
      <c r="A18" s="2" t="s">
        <v>15</v>
      </c>
    </row>
    <row r="19" spans="1:1" ht="15" customHeight="1" x14ac:dyDescent="0.2">
      <c r="A19" s="2"/>
    </row>
    <row r="20" spans="1:1" ht="15" customHeight="1" x14ac:dyDescent="0.2">
      <c r="A2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20" customWidth="1"/>
    <col min="3" max="3" width="12" customWidth="1"/>
    <col min="4" max="4" width="40" customWidth="1"/>
  </cols>
  <sheetData>
    <row r="1" spans="1:4" ht="15" customHeight="1" x14ac:dyDescent="0.2">
      <c r="A1" s="3" t="s">
        <v>17</v>
      </c>
      <c r="B1" s="3" t="s">
        <v>18</v>
      </c>
      <c r="C1" s="3" t="s">
        <v>19</v>
      </c>
      <c r="D1" s="3" t="s">
        <v>20</v>
      </c>
    </row>
    <row r="2" spans="1:4" ht="15" customHeight="1" x14ac:dyDescent="0.2">
      <c r="A2" s="2" t="s">
        <v>21</v>
      </c>
      <c r="B2" s="2" t="s">
        <v>22</v>
      </c>
      <c r="C2" s="2" t="s">
        <v>23</v>
      </c>
      <c r="D2" s="2" t="s">
        <v>24</v>
      </c>
    </row>
    <row r="3" spans="1:4" ht="15" customHeight="1" x14ac:dyDescent="0.2">
      <c r="A3" s="2" t="s">
        <v>25</v>
      </c>
      <c r="B3" s="2" t="s">
        <v>26</v>
      </c>
      <c r="C3" s="2" t="s">
        <v>27</v>
      </c>
      <c r="D3" s="2" t="s">
        <v>24</v>
      </c>
    </row>
    <row r="4" spans="1:4" ht="15" customHeight="1" x14ac:dyDescent="0.2">
      <c r="A4" s="2" t="s">
        <v>28</v>
      </c>
      <c r="B4" s="2" t="s">
        <v>29</v>
      </c>
      <c r="C4" s="2" t="s">
        <v>23</v>
      </c>
      <c r="D4" s="2" t="s">
        <v>24</v>
      </c>
    </row>
    <row r="5" spans="1:4" ht="15" customHeight="1" x14ac:dyDescent="0.2">
      <c r="A5" s="2" t="s">
        <v>30</v>
      </c>
      <c r="B5" s="2" t="s">
        <v>22</v>
      </c>
      <c r="C5" s="2" t="s">
        <v>27</v>
      </c>
      <c r="D5" s="2" t="s">
        <v>24</v>
      </c>
    </row>
    <row r="6" spans="1:4" ht="15" customHeight="1" x14ac:dyDescent="0.2">
      <c r="A6" s="2" t="s">
        <v>31</v>
      </c>
      <c r="B6" s="2" t="s">
        <v>26</v>
      </c>
      <c r="C6" s="2" t="s">
        <v>23</v>
      </c>
      <c r="D6" s="2" t="s">
        <v>24</v>
      </c>
    </row>
    <row r="7" spans="1:4" ht="15" customHeight="1" x14ac:dyDescent="0.2">
      <c r="A7" s="2" t="s">
        <v>32</v>
      </c>
      <c r="B7" s="2" t="s">
        <v>29</v>
      </c>
      <c r="C7" s="2" t="s">
        <v>27</v>
      </c>
      <c r="D7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abSelected="1"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C2" sqref="C2:J73"/>
    </sheetView>
  </sheetViews>
  <sheetFormatPr baseColWidth="10" defaultColWidth="8.6640625" defaultRowHeight="15" x14ac:dyDescent="0.2"/>
  <cols>
    <col min="1" max="1" width="11" customWidth="1"/>
    <col min="2" max="2" width="9" customWidth="1"/>
    <col min="3" max="3" width="10" customWidth="1"/>
    <col min="4" max="4" width="9" customWidth="1"/>
    <col min="5" max="5" width="8" customWidth="1"/>
    <col min="6" max="6" width="11" customWidth="1"/>
    <col min="7" max="7" width="13" customWidth="1"/>
    <col min="8" max="8" width="12" customWidth="1"/>
    <col min="9" max="9" width="13" customWidth="1"/>
    <col min="10" max="10" width="12" customWidth="1"/>
    <col min="11" max="11" width="13" customWidth="1"/>
    <col min="12" max="12" width="10" customWidth="1"/>
    <col min="13" max="13" width="11" customWidth="1"/>
    <col min="14" max="14" width="12" customWidth="1"/>
  </cols>
  <sheetData>
    <row r="1" spans="1:14" ht="39" customHeight="1" x14ac:dyDescent="0.2">
      <c r="A1" s="4" t="s">
        <v>33</v>
      </c>
      <c r="B1" s="4" t="s">
        <v>17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19</v>
      </c>
      <c r="M1" s="4" t="s">
        <v>43</v>
      </c>
      <c r="N1" s="4" t="s">
        <v>44</v>
      </c>
    </row>
    <row r="2" spans="1:14" ht="15" customHeight="1" x14ac:dyDescent="0.2">
      <c r="A2" s="2" t="s">
        <v>45</v>
      </c>
      <c r="B2" s="2" t="s">
        <v>21</v>
      </c>
      <c r="C2" s="9" t="s">
        <v>46</v>
      </c>
      <c r="D2" s="9" t="s">
        <v>47</v>
      </c>
      <c r="E2" s="9" t="s">
        <v>47</v>
      </c>
      <c r="F2" s="9" t="s">
        <v>47</v>
      </c>
      <c r="G2" s="9" t="s">
        <v>48</v>
      </c>
      <c r="H2" s="9" t="s">
        <v>48</v>
      </c>
      <c r="I2" s="9" t="s">
        <v>49</v>
      </c>
      <c r="J2" s="9">
        <v>3</v>
      </c>
      <c r="K2" s="2" t="str">
        <f>INDEX(AnswerKey!$B$2:$B$7,MATCH(B2,AnswerKey!$A$2:$A$7,0))</f>
        <v>HOLD</v>
      </c>
      <c r="L2" s="2" t="str">
        <f>INDEX(AnswerKey!$C$2:$C$7,MATCH(B2,AnswerKey!$A$2:$A$7,0))</f>
        <v>template</v>
      </c>
      <c r="M2" s="2">
        <f t="shared" ref="M2:M33" si="0">IF(C2="","",IF(UPPER(C2)=UPPER(K2),1,0))</f>
        <v>1</v>
      </c>
      <c r="N2" s="2">
        <f t="shared" ref="N2:N33" si="1">IF(C2="","",IF(OR(G2="Y",H2="Y"),1,0))</f>
        <v>0</v>
      </c>
    </row>
    <row r="3" spans="1:14" ht="15" customHeight="1" x14ac:dyDescent="0.2">
      <c r="A3" s="2" t="s">
        <v>45</v>
      </c>
      <c r="B3" s="2" t="s">
        <v>25</v>
      </c>
      <c r="C3" s="9" t="s">
        <v>80</v>
      </c>
      <c r="D3" s="9" t="s">
        <v>47</v>
      </c>
      <c r="E3" s="9" t="s">
        <v>47</v>
      </c>
      <c r="F3" s="9" t="s">
        <v>47</v>
      </c>
      <c r="G3" s="9" t="s">
        <v>48</v>
      </c>
      <c r="H3" s="9" t="s">
        <v>48</v>
      </c>
      <c r="I3" s="9" t="s">
        <v>49</v>
      </c>
      <c r="J3" s="9">
        <v>4</v>
      </c>
      <c r="K3" s="2" t="str">
        <f>INDEX(AnswerKey!$B$2:$B$7,MATCH(B3,AnswerKey!$A$2:$A$7,0))</f>
        <v>BUY</v>
      </c>
      <c r="L3" s="2" t="str">
        <f>INDEX(AnswerKey!$C$2:$C$7,MATCH(B3,AnswerKey!$A$2:$A$7,0))</f>
        <v>llm</v>
      </c>
      <c r="M3" s="2">
        <f t="shared" si="0"/>
        <v>1</v>
      </c>
      <c r="N3" s="2">
        <f t="shared" si="1"/>
        <v>0</v>
      </c>
    </row>
    <row r="4" spans="1:14" ht="15" customHeight="1" x14ac:dyDescent="0.2">
      <c r="A4" s="2" t="s">
        <v>45</v>
      </c>
      <c r="B4" s="2" t="s">
        <v>28</v>
      </c>
      <c r="C4" s="9" t="s">
        <v>81</v>
      </c>
      <c r="D4" s="9" t="s">
        <v>47</v>
      </c>
      <c r="E4" s="9" t="s">
        <v>47</v>
      </c>
      <c r="F4" s="9" t="s">
        <v>47</v>
      </c>
      <c r="G4" s="9" t="s">
        <v>48</v>
      </c>
      <c r="H4" s="9" t="s">
        <v>48</v>
      </c>
      <c r="I4" s="9" t="s">
        <v>49</v>
      </c>
      <c r="J4" s="9">
        <v>2</v>
      </c>
      <c r="K4" s="2" t="str">
        <f>INDEX(AnswerKey!$B$2:$B$7,MATCH(B4,AnswerKey!$A$2:$A$7,0))</f>
        <v>SELL</v>
      </c>
      <c r="L4" s="2" t="str">
        <f>INDEX(AnswerKey!$C$2:$C$7,MATCH(B4,AnswerKey!$A$2:$A$7,0))</f>
        <v>template</v>
      </c>
      <c r="M4" s="2">
        <f t="shared" si="0"/>
        <v>1</v>
      </c>
      <c r="N4" s="2">
        <f t="shared" si="1"/>
        <v>0</v>
      </c>
    </row>
    <row r="5" spans="1:14" ht="15" customHeight="1" x14ac:dyDescent="0.2">
      <c r="A5" s="2" t="s">
        <v>45</v>
      </c>
      <c r="B5" s="2" t="s">
        <v>30</v>
      </c>
      <c r="C5" s="9" t="s">
        <v>46</v>
      </c>
      <c r="D5" s="9" t="s">
        <v>47</v>
      </c>
      <c r="E5" s="9" t="s">
        <v>47</v>
      </c>
      <c r="F5" s="9" t="s">
        <v>47</v>
      </c>
      <c r="G5" s="9" t="s">
        <v>48</v>
      </c>
      <c r="H5" s="9" t="s">
        <v>48</v>
      </c>
      <c r="I5" s="9" t="s">
        <v>49</v>
      </c>
      <c r="J5" s="9">
        <v>3</v>
      </c>
      <c r="K5" s="2" t="str">
        <f>INDEX(AnswerKey!$B$2:$B$7,MATCH(B5,AnswerKey!$A$2:$A$7,0))</f>
        <v>HOLD</v>
      </c>
      <c r="L5" s="2" t="str">
        <f>INDEX(AnswerKey!$C$2:$C$7,MATCH(B5,AnswerKey!$A$2:$A$7,0))</f>
        <v>llm</v>
      </c>
      <c r="M5" s="2">
        <f t="shared" si="0"/>
        <v>1</v>
      </c>
      <c r="N5" s="2">
        <f t="shared" si="1"/>
        <v>0</v>
      </c>
    </row>
    <row r="6" spans="1:14" ht="15" customHeight="1" x14ac:dyDescent="0.2">
      <c r="A6" s="2" t="s">
        <v>45</v>
      </c>
      <c r="B6" s="2" t="s">
        <v>31</v>
      </c>
      <c r="C6" s="9" t="s">
        <v>80</v>
      </c>
      <c r="D6" s="9" t="s">
        <v>47</v>
      </c>
      <c r="E6" s="9" t="s">
        <v>47</v>
      </c>
      <c r="F6" s="9" t="s">
        <v>47</v>
      </c>
      <c r="G6" s="9" t="s">
        <v>48</v>
      </c>
      <c r="H6" s="9" t="s">
        <v>48</v>
      </c>
      <c r="I6" s="9" t="s">
        <v>49</v>
      </c>
      <c r="J6" s="9">
        <v>3</v>
      </c>
      <c r="K6" s="2" t="str">
        <f>INDEX(AnswerKey!$B$2:$B$7,MATCH(B6,AnswerKey!$A$2:$A$7,0))</f>
        <v>BUY</v>
      </c>
      <c r="L6" s="2" t="str">
        <f>INDEX(AnswerKey!$C$2:$C$7,MATCH(B6,AnswerKey!$A$2:$A$7,0))</f>
        <v>template</v>
      </c>
      <c r="M6" s="2">
        <f t="shared" si="0"/>
        <v>1</v>
      </c>
      <c r="N6" s="2">
        <f t="shared" si="1"/>
        <v>0</v>
      </c>
    </row>
    <row r="7" spans="1:14" ht="15" customHeight="1" x14ac:dyDescent="0.2">
      <c r="A7" s="2" t="s">
        <v>45</v>
      </c>
      <c r="B7" s="2" t="s">
        <v>32</v>
      </c>
      <c r="C7" s="9" t="s">
        <v>81</v>
      </c>
      <c r="D7" s="9" t="s">
        <v>47</v>
      </c>
      <c r="E7" s="9" t="s">
        <v>47</v>
      </c>
      <c r="F7" s="9" t="s">
        <v>47</v>
      </c>
      <c r="G7" s="9" t="s">
        <v>48</v>
      </c>
      <c r="H7" s="9" t="s">
        <v>48</v>
      </c>
      <c r="I7" s="9" t="s">
        <v>82</v>
      </c>
      <c r="J7" s="9">
        <v>4</v>
      </c>
      <c r="K7" s="2" t="str">
        <f>INDEX(AnswerKey!$B$2:$B$7,MATCH(B7,AnswerKey!$A$2:$A$7,0))</f>
        <v>SELL</v>
      </c>
      <c r="L7" s="2" t="str">
        <f>INDEX(AnswerKey!$C$2:$C$7,MATCH(B7,AnswerKey!$A$2:$A$7,0))</f>
        <v>llm</v>
      </c>
      <c r="M7" s="2">
        <f t="shared" si="0"/>
        <v>1</v>
      </c>
      <c r="N7" s="2">
        <f t="shared" si="1"/>
        <v>0</v>
      </c>
    </row>
    <row r="8" spans="1:14" ht="15" customHeight="1" x14ac:dyDescent="0.2">
      <c r="A8" s="2" t="s">
        <v>50</v>
      </c>
      <c r="B8" s="2" t="s">
        <v>21</v>
      </c>
      <c r="C8" s="9" t="s">
        <v>46</v>
      </c>
      <c r="D8" s="9" t="s">
        <v>47</v>
      </c>
      <c r="E8" s="9" t="s">
        <v>47</v>
      </c>
      <c r="F8" s="9" t="s">
        <v>47</v>
      </c>
      <c r="G8" s="9" t="s">
        <v>48</v>
      </c>
      <c r="H8" s="9" t="s">
        <v>48</v>
      </c>
      <c r="I8" s="9" t="s">
        <v>82</v>
      </c>
      <c r="J8" s="9">
        <v>4</v>
      </c>
      <c r="K8" s="2" t="str">
        <f>INDEX(AnswerKey!$B$2:$B$7,MATCH(B8,AnswerKey!$A$2:$A$7,0))</f>
        <v>HOLD</v>
      </c>
      <c r="L8" s="2" t="str">
        <f>INDEX(AnswerKey!$C$2:$C$7,MATCH(B8,AnswerKey!$A$2:$A$7,0))</f>
        <v>template</v>
      </c>
      <c r="M8" s="2">
        <f t="shared" si="0"/>
        <v>1</v>
      </c>
      <c r="N8" s="2">
        <f t="shared" si="1"/>
        <v>0</v>
      </c>
    </row>
    <row r="9" spans="1:14" ht="15" customHeight="1" x14ac:dyDescent="0.2">
      <c r="A9" s="2" t="s">
        <v>50</v>
      </c>
      <c r="B9" s="2" t="s">
        <v>25</v>
      </c>
      <c r="C9" s="9" t="s">
        <v>80</v>
      </c>
      <c r="D9" s="9" t="s">
        <v>47</v>
      </c>
      <c r="E9" s="9" t="s">
        <v>47</v>
      </c>
      <c r="F9" s="9" t="s">
        <v>47</v>
      </c>
      <c r="G9" s="9" t="s">
        <v>47</v>
      </c>
      <c r="H9" s="9" t="s">
        <v>48</v>
      </c>
      <c r="I9" s="9" t="s">
        <v>82</v>
      </c>
      <c r="J9" s="9">
        <v>5</v>
      </c>
      <c r="K9" s="2" t="str">
        <f>INDEX(AnswerKey!$B$2:$B$7,MATCH(B9,AnswerKey!$A$2:$A$7,0))</f>
        <v>BUY</v>
      </c>
      <c r="L9" s="2" t="str">
        <f>INDEX(AnswerKey!$C$2:$C$7,MATCH(B9,AnswerKey!$A$2:$A$7,0))</f>
        <v>llm</v>
      </c>
      <c r="M9" s="2">
        <f t="shared" si="0"/>
        <v>1</v>
      </c>
      <c r="N9" s="2">
        <f t="shared" si="1"/>
        <v>1</v>
      </c>
    </row>
    <row r="10" spans="1:14" ht="15" customHeight="1" x14ac:dyDescent="0.2">
      <c r="A10" s="2" t="s">
        <v>50</v>
      </c>
      <c r="B10" s="2" t="s">
        <v>28</v>
      </c>
      <c r="C10" s="9" t="s">
        <v>81</v>
      </c>
      <c r="D10" s="9" t="s">
        <v>47</v>
      </c>
      <c r="E10" s="9" t="s">
        <v>47</v>
      </c>
      <c r="F10" s="9" t="s">
        <v>47</v>
      </c>
      <c r="G10" s="9" t="s">
        <v>48</v>
      </c>
      <c r="H10" s="9" t="s">
        <v>48</v>
      </c>
      <c r="I10" s="9" t="s">
        <v>49</v>
      </c>
      <c r="J10" s="9">
        <v>3</v>
      </c>
      <c r="K10" s="2" t="str">
        <f>INDEX(AnswerKey!$B$2:$B$7,MATCH(B10,AnswerKey!$A$2:$A$7,0))</f>
        <v>SELL</v>
      </c>
      <c r="L10" s="2" t="str">
        <f>INDEX(AnswerKey!$C$2:$C$7,MATCH(B10,AnswerKey!$A$2:$A$7,0))</f>
        <v>template</v>
      </c>
      <c r="M10" s="2">
        <f t="shared" si="0"/>
        <v>1</v>
      </c>
      <c r="N10" s="2">
        <f t="shared" si="1"/>
        <v>0</v>
      </c>
    </row>
    <row r="11" spans="1:14" ht="15" customHeight="1" x14ac:dyDescent="0.2">
      <c r="A11" s="2" t="s">
        <v>50</v>
      </c>
      <c r="B11" s="2" t="s">
        <v>30</v>
      </c>
      <c r="C11" s="9" t="s">
        <v>46</v>
      </c>
      <c r="D11" s="9" t="s">
        <v>47</v>
      </c>
      <c r="E11" s="9" t="s">
        <v>47</v>
      </c>
      <c r="F11" s="9" t="s">
        <v>47</v>
      </c>
      <c r="G11" s="9" t="s">
        <v>48</v>
      </c>
      <c r="H11" s="9" t="s">
        <v>48</v>
      </c>
      <c r="I11" s="9" t="s">
        <v>82</v>
      </c>
      <c r="J11" s="9">
        <v>4</v>
      </c>
      <c r="K11" s="2" t="str">
        <f>INDEX(AnswerKey!$B$2:$B$7,MATCH(B11,AnswerKey!$A$2:$A$7,0))</f>
        <v>HOLD</v>
      </c>
      <c r="L11" s="2" t="str">
        <f>INDEX(AnswerKey!$C$2:$C$7,MATCH(B11,AnswerKey!$A$2:$A$7,0))</f>
        <v>llm</v>
      </c>
      <c r="M11" s="2">
        <f t="shared" si="0"/>
        <v>1</v>
      </c>
      <c r="N11" s="2">
        <f t="shared" si="1"/>
        <v>0</v>
      </c>
    </row>
    <row r="12" spans="1:14" ht="15" customHeight="1" x14ac:dyDescent="0.2">
      <c r="A12" s="2" t="s">
        <v>50</v>
      </c>
      <c r="B12" s="2" t="s">
        <v>31</v>
      </c>
      <c r="C12" s="9" t="s">
        <v>80</v>
      </c>
      <c r="D12" s="9" t="s">
        <v>47</v>
      </c>
      <c r="E12" s="9" t="s">
        <v>47</v>
      </c>
      <c r="F12" s="9" t="s">
        <v>47</v>
      </c>
      <c r="G12" s="9" t="s">
        <v>48</v>
      </c>
      <c r="H12" s="9" t="s">
        <v>48</v>
      </c>
      <c r="I12" s="9" t="s">
        <v>82</v>
      </c>
      <c r="J12" s="9">
        <v>4</v>
      </c>
      <c r="K12" s="2" t="str">
        <f>INDEX(AnswerKey!$B$2:$B$7,MATCH(B12,AnswerKey!$A$2:$A$7,0))</f>
        <v>BUY</v>
      </c>
      <c r="L12" s="2" t="str">
        <f>INDEX(AnswerKey!$C$2:$C$7,MATCH(B12,AnswerKey!$A$2:$A$7,0))</f>
        <v>template</v>
      </c>
      <c r="M12" s="2">
        <f t="shared" si="0"/>
        <v>1</v>
      </c>
      <c r="N12" s="2">
        <f t="shared" si="1"/>
        <v>0</v>
      </c>
    </row>
    <row r="13" spans="1:14" ht="15" customHeight="1" x14ac:dyDescent="0.2">
      <c r="A13" s="2" t="s">
        <v>50</v>
      </c>
      <c r="B13" s="2" t="s">
        <v>32</v>
      </c>
      <c r="C13" s="9" t="s">
        <v>81</v>
      </c>
      <c r="D13" s="9" t="s">
        <v>47</v>
      </c>
      <c r="E13" s="9" t="s">
        <v>47</v>
      </c>
      <c r="F13" s="9" t="s">
        <v>47</v>
      </c>
      <c r="G13" s="9" t="s">
        <v>47</v>
      </c>
      <c r="H13" s="9" t="s">
        <v>48</v>
      </c>
      <c r="I13" s="9" t="s">
        <v>82</v>
      </c>
      <c r="J13" s="9">
        <v>5</v>
      </c>
      <c r="K13" s="2" t="str">
        <f>INDEX(AnswerKey!$B$2:$B$7,MATCH(B13,AnswerKey!$A$2:$A$7,0))</f>
        <v>SELL</v>
      </c>
      <c r="L13" s="2" t="str">
        <f>INDEX(AnswerKey!$C$2:$C$7,MATCH(B13,AnswerKey!$A$2:$A$7,0))</f>
        <v>llm</v>
      </c>
      <c r="M13" s="2">
        <f t="shared" si="0"/>
        <v>1</v>
      </c>
      <c r="N13" s="2">
        <f t="shared" si="1"/>
        <v>1</v>
      </c>
    </row>
    <row r="14" spans="1:14" ht="15" customHeight="1" x14ac:dyDescent="0.2">
      <c r="A14" s="2" t="s">
        <v>51</v>
      </c>
      <c r="B14" s="2" t="s">
        <v>21</v>
      </c>
      <c r="C14" s="9" t="s">
        <v>46</v>
      </c>
      <c r="D14" s="9" t="s">
        <v>47</v>
      </c>
      <c r="E14" s="9" t="s">
        <v>48</v>
      </c>
      <c r="F14" s="9" t="s">
        <v>47</v>
      </c>
      <c r="G14" s="9" t="s">
        <v>48</v>
      </c>
      <c r="H14" s="9" t="s">
        <v>48</v>
      </c>
      <c r="I14" s="9" t="s">
        <v>83</v>
      </c>
      <c r="J14" s="9">
        <v>2</v>
      </c>
      <c r="K14" s="2" t="str">
        <f>INDEX(AnswerKey!$B$2:$B$7,MATCH(B14,AnswerKey!$A$2:$A$7,0))</f>
        <v>HOLD</v>
      </c>
      <c r="L14" s="2" t="str">
        <f>INDEX(AnswerKey!$C$2:$C$7,MATCH(B14,AnswerKey!$A$2:$A$7,0))</f>
        <v>template</v>
      </c>
      <c r="M14" s="2">
        <f t="shared" si="0"/>
        <v>1</v>
      </c>
      <c r="N14" s="2">
        <f t="shared" si="1"/>
        <v>0</v>
      </c>
    </row>
    <row r="15" spans="1:14" ht="15" customHeight="1" x14ac:dyDescent="0.2">
      <c r="A15" s="2" t="s">
        <v>51</v>
      </c>
      <c r="B15" s="2" t="s">
        <v>25</v>
      </c>
      <c r="C15" s="9" t="s">
        <v>80</v>
      </c>
      <c r="D15" s="9" t="s">
        <v>47</v>
      </c>
      <c r="E15" s="9" t="s">
        <v>47</v>
      </c>
      <c r="F15" s="9" t="s">
        <v>47</v>
      </c>
      <c r="G15" s="9" t="s">
        <v>48</v>
      </c>
      <c r="H15" s="9" t="s">
        <v>48</v>
      </c>
      <c r="I15" s="9" t="s">
        <v>49</v>
      </c>
      <c r="J15" s="9">
        <v>4</v>
      </c>
      <c r="K15" s="2" t="str">
        <f>INDEX(AnswerKey!$B$2:$B$7,MATCH(B15,AnswerKey!$A$2:$A$7,0))</f>
        <v>BUY</v>
      </c>
      <c r="L15" s="2" t="str">
        <f>INDEX(AnswerKey!$C$2:$C$7,MATCH(B15,AnswerKey!$A$2:$A$7,0))</f>
        <v>llm</v>
      </c>
      <c r="M15" s="2">
        <f t="shared" si="0"/>
        <v>1</v>
      </c>
      <c r="N15" s="2">
        <f t="shared" si="1"/>
        <v>0</v>
      </c>
    </row>
    <row r="16" spans="1:14" ht="15" customHeight="1" x14ac:dyDescent="0.2">
      <c r="A16" s="2" t="s">
        <v>51</v>
      </c>
      <c r="B16" s="2" t="s">
        <v>28</v>
      </c>
      <c r="C16" s="9" t="s">
        <v>84</v>
      </c>
      <c r="D16" s="9" t="s">
        <v>47</v>
      </c>
      <c r="E16" s="9" t="s">
        <v>48</v>
      </c>
      <c r="F16" s="9" t="s">
        <v>47</v>
      </c>
      <c r="G16" s="9" t="s">
        <v>48</v>
      </c>
      <c r="H16" s="9" t="s">
        <v>48</v>
      </c>
      <c r="I16" s="9" t="s">
        <v>83</v>
      </c>
      <c r="J16" s="9">
        <v>1</v>
      </c>
      <c r="K16" s="2" t="str">
        <f>INDEX(AnswerKey!$B$2:$B$7,MATCH(B16,AnswerKey!$A$2:$A$7,0))</f>
        <v>SELL</v>
      </c>
      <c r="L16" s="2" t="str">
        <f>INDEX(AnswerKey!$C$2:$C$7,MATCH(B16,AnswerKey!$A$2:$A$7,0))</f>
        <v>template</v>
      </c>
      <c r="M16" s="2">
        <f t="shared" si="0"/>
        <v>0</v>
      </c>
      <c r="N16" s="2">
        <f t="shared" si="1"/>
        <v>0</v>
      </c>
    </row>
    <row r="17" spans="1:14" ht="15" customHeight="1" x14ac:dyDescent="0.2">
      <c r="A17" s="2" t="s">
        <v>51</v>
      </c>
      <c r="B17" s="2" t="s">
        <v>30</v>
      </c>
      <c r="C17" s="9" t="s">
        <v>46</v>
      </c>
      <c r="D17" s="9" t="s">
        <v>47</v>
      </c>
      <c r="E17" s="9" t="s">
        <v>48</v>
      </c>
      <c r="F17" s="9" t="s">
        <v>47</v>
      </c>
      <c r="G17" s="9" t="s">
        <v>48</v>
      </c>
      <c r="H17" s="9" t="s">
        <v>48</v>
      </c>
      <c r="I17" s="9" t="s">
        <v>83</v>
      </c>
      <c r="J17" s="9">
        <v>2</v>
      </c>
      <c r="K17" s="2" t="str">
        <f>INDEX(AnswerKey!$B$2:$B$7,MATCH(B17,AnswerKey!$A$2:$A$7,0))</f>
        <v>HOLD</v>
      </c>
      <c r="L17" s="2" t="str">
        <f>INDEX(AnswerKey!$C$2:$C$7,MATCH(B17,AnswerKey!$A$2:$A$7,0))</f>
        <v>llm</v>
      </c>
      <c r="M17" s="2">
        <f t="shared" si="0"/>
        <v>1</v>
      </c>
      <c r="N17" s="2">
        <f t="shared" si="1"/>
        <v>0</v>
      </c>
    </row>
    <row r="18" spans="1:14" ht="15" customHeight="1" x14ac:dyDescent="0.2">
      <c r="A18" s="2" t="s">
        <v>51</v>
      </c>
      <c r="B18" s="2" t="s">
        <v>31</v>
      </c>
      <c r="C18" s="9" t="s">
        <v>80</v>
      </c>
      <c r="D18" s="9" t="s">
        <v>47</v>
      </c>
      <c r="E18" s="9" t="s">
        <v>48</v>
      </c>
      <c r="F18" s="9" t="s">
        <v>47</v>
      </c>
      <c r="G18" s="9" t="s">
        <v>48</v>
      </c>
      <c r="H18" s="9" t="s">
        <v>48</v>
      </c>
      <c r="I18" s="9" t="s">
        <v>49</v>
      </c>
      <c r="J18" s="9">
        <v>2</v>
      </c>
      <c r="K18" s="2" t="str">
        <f>INDEX(AnswerKey!$B$2:$B$7,MATCH(B18,AnswerKey!$A$2:$A$7,0))</f>
        <v>BUY</v>
      </c>
      <c r="L18" s="2" t="str">
        <f>INDEX(AnswerKey!$C$2:$C$7,MATCH(B18,AnswerKey!$A$2:$A$7,0))</f>
        <v>template</v>
      </c>
      <c r="M18" s="2">
        <f t="shared" si="0"/>
        <v>1</v>
      </c>
      <c r="N18" s="2">
        <f t="shared" si="1"/>
        <v>0</v>
      </c>
    </row>
    <row r="19" spans="1:14" ht="15" customHeight="1" x14ac:dyDescent="0.2">
      <c r="A19" s="2" t="s">
        <v>51</v>
      </c>
      <c r="B19" s="2" t="s">
        <v>32</v>
      </c>
      <c r="C19" s="9" t="s">
        <v>81</v>
      </c>
      <c r="D19" s="9" t="s">
        <v>47</v>
      </c>
      <c r="E19" s="9" t="s">
        <v>47</v>
      </c>
      <c r="F19" s="9" t="s">
        <v>47</v>
      </c>
      <c r="G19" s="9" t="s">
        <v>48</v>
      </c>
      <c r="H19" s="9" t="s">
        <v>48</v>
      </c>
      <c r="I19" s="9" t="s">
        <v>82</v>
      </c>
      <c r="J19" s="9">
        <v>4</v>
      </c>
      <c r="K19" s="2" t="str">
        <f>INDEX(AnswerKey!$B$2:$B$7,MATCH(B19,AnswerKey!$A$2:$A$7,0))</f>
        <v>SELL</v>
      </c>
      <c r="L19" s="2" t="str">
        <f>INDEX(AnswerKey!$C$2:$C$7,MATCH(B19,AnswerKey!$A$2:$A$7,0))</f>
        <v>llm</v>
      </c>
      <c r="M19" s="2">
        <f t="shared" si="0"/>
        <v>1</v>
      </c>
      <c r="N19" s="2">
        <f t="shared" si="1"/>
        <v>0</v>
      </c>
    </row>
    <row r="20" spans="1:14" ht="15" customHeight="1" x14ac:dyDescent="0.2">
      <c r="A20" s="2" t="s">
        <v>52</v>
      </c>
      <c r="B20" s="2" t="s">
        <v>21</v>
      </c>
      <c r="C20" s="9" t="s">
        <v>46</v>
      </c>
      <c r="D20" s="9" t="s">
        <v>47</v>
      </c>
      <c r="E20" s="9" t="s">
        <v>47</v>
      </c>
      <c r="F20" s="9" t="s">
        <v>48</v>
      </c>
      <c r="G20" s="9" t="s">
        <v>48</v>
      </c>
      <c r="H20" s="9" t="s">
        <v>48</v>
      </c>
      <c r="I20" s="9" t="s">
        <v>49</v>
      </c>
      <c r="J20" s="9">
        <v>3</v>
      </c>
      <c r="K20" s="2" t="str">
        <f>INDEX(AnswerKey!$B$2:$B$7,MATCH(B20,AnswerKey!$A$2:$A$7,0))</f>
        <v>HOLD</v>
      </c>
      <c r="L20" s="2" t="str">
        <f>INDEX(AnswerKey!$C$2:$C$7,MATCH(B20,AnswerKey!$A$2:$A$7,0))</f>
        <v>template</v>
      </c>
      <c r="M20" s="2">
        <f t="shared" si="0"/>
        <v>1</v>
      </c>
      <c r="N20" s="2">
        <f t="shared" si="1"/>
        <v>0</v>
      </c>
    </row>
    <row r="21" spans="1:14" ht="15" customHeight="1" x14ac:dyDescent="0.2">
      <c r="A21" s="2" t="s">
        <v>52</v>
      </c>
      <c r="B21" s="2" t="s">
        <v>25</v>
      </c>
      <c r="C21" s="9" t="s">
        <v>80</v>
      </c>
      <c r="D21" s="9" t="s">
        <v>47</v>
      </c>
      <c r="E21" s="9" t="s">
        <v>47</v>
      </c>
      <c r="F21" s="9" t="s">
        <v>48</v>
      </c>
      <c r="G21" s="9" t="s">
        <v>48</v>
      </c>
      <c r="H21" s="9" t="s">
        <v>48</v>
      </c>
      <c r="I21" s="9" t="s">
        <v>49</v>
      </c>
      <c r="J21" s="9">
        <v>5</v>
      </c>
      <c r="K21" s="2" t="str">
        <f>INDEX(AnswerKey!$B$2:$B$7,MATCH(B21,AnswerKey!$A$2:$A$7,0))</f>
        <v>BUY</v>
      </c>
      <c r="L21" s="2" t="str">
        <f>INDEX(AnswerKey!$C$2:$C$7,MATCH(B21,AnswerKey!$A$2:$A$7,0))</f>
        <v>llm</v>
      </c>
      <c r="M21" s="2">
        <f t="shared" si="0"/>
        <v>1</v>
      </c>
      <c r="N21" s="2">
        <f t="shared" si="1"/>
        <v>0</v>
      </c>
    </row>
    <row r="22" spans="1:14" ht="15" customHeight="1" x14ac:dyDescent="0.2">
      <c r="A22" s="2" t="s">
        <v>52</v>
      </c>
      <c r="B22" s="2" t="s">
        <v>28</v>
      </c>
      <c r="C22" s="9" t="s">
        <v>81</v>
      </c>
      <c r="D22" s="9" t="s">
        <v>47</v>
      </c>
      <c r="E22" s="9" t="s">
        <v>47</v>
      </c>
      <c r="F22" s="9" t="s">
        <v>48</v>
      </c>
      <c r="G22" s="9" t="s">
        <v>48</v>
      </c>
      <c r="H22" s="9" t="s">
        <v>48</v>
      </c>
      <c r="I22" s="9" t="s">
        <v>49</v>
      </c>
      <c r="J22" s="9">
        <v>3</v>
      </c>
      <c r="K22" s="2" t="str">
        <f>INDEX(AnswerKey!$B$2:$B$7,MATCH(B22,AnswerKey!$A$2:$A$7,0))</f>
        <v>SELL</v>
      </c>
      <c r="L22" s="2" t="str">
        <f>INDEX(AnswerKey!$C$2:$C$7,MATCH(B22,AnswerKey!$A$2:$A$7,0))</f>
        <v>template</v>
      </c>
      <c r="M22" s="2">
        <f t="shared" si="0"/>
        <v>1</v>
      </c>
      <c r="N22" s="2">
        <f t="shared" si="1"/>
        <v>0</v>
      </c>
    </row>
    <row r="23" spans="1:14" ht="15" customHeight="1" x14ac:dyDescent="0.2">
      <c r="A23" s="2" t="s">
        <v>52</v>
      </c>
      <c r="B23" s="2" t="s">
        <v>30</v>
      </c>
      <c r="C23" s="9" t="s">
        <v>46</v>
      </c>
      <c r="D23" s="9" t="s">
        <v>47</v>
      </c>
      <c r="E23" s="9" t="s">
        <v>47</v>
      </c>
      <c r="F23" s="9" t="s">
        <v>48</v>
      </c>
      <c r="G23" s="9" t="s">
        <v>48</v>
      </c>
      <c r="H23" s="9" t="s">
        <v>48</v>
      </c>
      <c r="I23" s="9" t="s">
        <v>49</v>
      </c>
      <c r="J23" s="9">
        <v>3</v>
      </c>
      <c r="K23" s="2" t="str">
        <f>INDEX(AnswerKey!$B$2:$B$7,MATCH(B23,AnswerKey!$A$2:$A$7,0))</f>
        <v>HOLD</v>
      </c>
      <c r="L23" s="2" t="str">
        <f>INDEX(AnswerKey!$C$2:$C$7,MATCH(B23,AnswerKey!$A$2:$A$7,0))</f>
        <v>llm</v>
      </c>
      <c r="M23" s="2">
        <f t="shared" si="0"/>
        <v>1</v>
      </c>
      <c r="N23" s="2">
        <f t="shared" si="1"/>
        <v>0</v>
      </c>
    </row>
    <row r="24" spans="1:14" ht="15" customHeight="1" x14ac:dyDescent="0.2">
      <c r="A24" s="2" t="s">
        <v>52</v>
      </c>
      <c r="B24" s="2" t="s">
        <v>31</v>
      </c>
      <c r="C24" s="9" t="s">
        <v>80</v>
      </c>
      <c r="D24" s="9" t="s">
        <v>47</v>
      </c>
      <c r="E24" s="9" t="s">
        <v>47</v>
      </c>
      <c r="F24" s="9" t="s">
        <v>47</v>
      </c>
      <c r="G24" s="9" t="s">
        <v>48</v>
      </c>
      <c r="H24" s="9" t="s">
        <v>48</v>
      </c>
      <c r="I24" s="9" t="s">
        <v>49</v>
      </c>
      <c r="J24" s="9">
        <v>3</v>
      </c>
      <c r="K24" s="2" t="str">
        <f>INDEX(AnswerKey!$B$2:$B$7,MATCH(B24,AnswerKey!$A$2:$A$7,0))</f>
        <v>BUY</v>
      </c>
      <c r="L24" s="2" t="str">
        <f>INDEX(AnswerKey!$C$2:$C$7,MATCH(B24,AnswerKey!$A$2:$A$7,0))</f>
        <v>template</v>
      </c>
      <c r="M24" s="2">
        <f t="shared" si="0"/>
        <v>1</v>
      </c>
      <c r="N24" s="2">
        <f t="shared" si="1"/>
        <v>0</v>
      </c>
    </row>
    <row r="25" spans="1:14" ht="15" customHeight="1" x14ac:dyDescent="0.2">
      <c r="A25" s="2" t="s">
        <v>52</v>
      </c>
      <c r="B25" s="2" t="s">
        <v>32</v>
      </c>
      <c r="C25" s="9" t="s">
        <v>81</v>
      </c>
      <c r="D25" s="9" t="s">
        <v>47</v>
      </c>
      <c r="E25" s="9" t="s">
        <v>47</v>
      </c>
      <c r="F25" s="9" t="s">
        <v>48</v>
      </c>
      <c r="G25" s="9" t="s">
        <v>48</v>
      </c>
      <c r="H25" s="9" t="s">
        <v>48</v>
      </c>
      <c r="I25" s="9" t="s">
        <v>49</v>
      </c>
      <c r="J25" s="9">
        <v>5</v>
      </c>
      <c r="K25" s="2" t="str">
        <f>INDEX(AnswerKey!$B$2:$B$7,MATCH(B25,AnswerKey!$A$2:$A$7,0))</f>
        <v>SELL</v>
      </c>
      <c r="L25" s="2" t="str">
        <f>INDEX(AnswerKey!$C$2:$C$7,MATCH(B25,AnswerKey!$A$2:$A$7,0))</f>
        <v>llm</v>
      </c>
      <c r="M25" s="2">
        <f t="shared" si="0"/>
        <v>1</v>
      </c>
      <c r="N25" s="2">
        <f t="shared" si="1"/>
        <v>0</v>
      </c>
    </row>
    <row r="26" spans="1:14" ht="15" customHeight="1" x14ac:dyDescent="0.2">
      <c r="A26" s="2" t="s">
        <v>53</v>
      </c>
      <c r="B26" s="2" t="s">
        <v>21</v>
      </c>
      <c r="C26" s="9" t="s">
        <v>46</v>
      </c>
      <c r="D26" s="9" t="s">
        <v>47</v>
      </c>
      <c r="E26" s="9" t="s">
        <v>47</v>
      </c>
      <c r="F26" s="9" t="s">
        <v>47</v>
      </c>
      <c r="G26" s="9" t="s">
        <v>47</v>
      </c>
      <c r="H26" s="9" t="s">
        <v>48</v>
      </c>
      <c r="I26" s="9" t="s">
        <v>49</v>
      </c>
      <c r="J26" s="9">
        <v>3</v>
      </c>
      <c r="K26" s="2" t="str">
        <f>INDEX(AnswerKey!$B$2:$B$7,MATCH(B26,AnswerKey!$A$2:$A$7,0))</f>
        <v>HOLD</v>
      </c>
      <c r="L26" s="2" t="str">
        <f>INDEX(AnswerKey!$C$2:$C$7,MATCH(B26,AnswerKey!$A$2:$A$7,0))</f>
        <v>template</v>
      </c>
      <c r="M26" s="2">
        <f t="shared" si="0"/>
        <v>1</v>
      </c>
      <c r="N26" s="2">
        <f t="shared" si="1"/>
        <v>1</v>
      </c>
    </row>
    <row r="27" spans="1:14" ht="15" customHeight="1" x14ac:dyDescent="0.2">
      <c r="A27" s="2" t="s">
        <v>53</v>
      </c>
      <c r="B27" s="2" t="s">
        <v>25</v>
      </c>
      <c r="C27" s="9" t="s">
        <v>80</v>
      </c>
      <c r="D27" s="9" t="s">
        <v>47</v>
      </c>
      <c r="E27" s="9" t="s">
        <v>47</v>
      </c>
      <c r="F27" s="9" t="s">
        <v>47</v>
      </c>
      <c r="G27" s="9" t="s">
        <v>47</v>
      </c>
      <c r="H27" s="9" t="s">
        <v>48</v>
      </c>
      <c r="I27" s="9" t="s">
        <v>82</v>
      </c>
      <c r="J27" s="9">
        <v>4</v>
      </c>
      <c r="K27" s="2" t="str">
        <f>INDEX(AnswerKey!$B$2:$B$7,MATCH(B27,AnswerKey!$A$2:$A$7,0))</f>
        <v>BUY</v>
      </c>
      <c r="L27" s="2" t="str">
        <f>INDEX(AnswerKey!$C$2:$C$7,MATCH(B27,AnswerKey!$A$2:$A$7,0))</f>
        <v>llm</v>
      </c>
      <c r="M27" s="2">
        <f t="shared" si="0"/>
        <v>1</v>
      </c>
      <c r="N27" s="2">
        <f t="shared" si="1"/>
        <v>1</v>
      </c>
    </row>
    <row r="28" spans="1:14" ht="15" customHeight="1" x14ac:dyDescent="0.2">
      <c r="A28" s="2" t="s">
        <v>53</v>
      </c>
      <c r="B28" s="2" t="s">
        <v>28</v>
      </c>
      <c r="C28" s="9" t="s">
        <v>46</v>
      </c>
      <c r="D28" s="9" t="s">
        <v>47</v>
      </c>
      <c r="E28" s="9" t="s">
        <v>47</v>
      </c>
      <c r="F28" s="9" t="s">
        <v>48</v>
      </c>
      <c r="G28" s="9" t="s">
        <v>47</v>
      </c>
      <c r="H28" s="9" t="s">
        <v>48</v>
      </c>
      <c r="I28" s="9" t="s">
        <v>49</v>
      </c>
      <c r="J28" s="9">
        <v>2</v>
      </c>
      <c r="K28" s="2" t="str">
        <f>INDEX(AnswerKey!$B$2:$B$7,MATCH(B28,AnswerKey!$A$2:$A$7,0))</f>
        <v>SELL</v>
      </c>
      <c r="L28" s="2" t="str">
        <f>INDEX(AnswerKey!$C$2:$C$7,MATCH(B28,AnswerKey!$A$2:$A$7,0))</f>
        <v>template</v>
      </c>
      <c r="M28" s="2">
        <f t="shared" si="0"/>
        <v>0</v>
      </c>
      <c r="N28" s="2">
        <f t="shared" si="1"/>
        <v>1</v>
      </c>
    </row>
    <row r="29" spans="1:14" ht="15" customHeight="1" x14ac:dyDescent="0.2">
      <c r="A29" s="2" t="s">
        <v>53</v>
      </c>
      <c r="B29" s="2" t="s">
        <v>30</v>
      </c>
      <c r="C29" s="9" t="s">
        <v>46</v>
      </c>
      <c r="D29" s="9" t="s">
        <v>47</v>
      </c>
      <c r="E29" s="9" t="s">
        <v>47</v>
      </c>
      <c r="F29" s="9" t="s">
        <v>47</v>
      </c>
      <c r="G29" s="9" t="s">
        <v>47</v>
      </c>
      <c r="H29" s="9" t="s">
        <v>48</v>
      </c>
      <c r="I29" s="9" t="s">
        <v>49</v>
      </c>
      <c r="J29" s="9">
        <v>3</v>
      </c>
      <c r="K29" s="2" t="str">
        <f>INDEX(AnswerKey!$B$2:$B$7,MATCH(B29,AnswerKey!$A$2:$A$7,0))</f>
        <v>HOLD</v>
      </c>
      <c r="L29" s="2" t="str">
        <f>INDEX(AnswerKey!$C$2:$C$7,MATCH(B29,AnswerKey!$A$2:$A$7,0))</f>
        <v>llm</v>
      </c>
      <c r="M29" s="2">
        <f t="shared" si="0"/>
        <v>1</v>
      </c>
      <c r="N29" s="2">
        <f t="shared" si="1"/>
        <v>1</v>
      </c>
    </row>
    <row r="30" spans="1:14" ht="15" customHeight="1" x14ac:dyDescent="0.2">
      <c r="A30" s="2" t="s">
        <v>53</v>
      </c>
      <c r="B30" s="2" t="s">
        <v>31</v>
      </c>
      <c r="C30" s="9" t="s">
        <v>80</v>
      </c>
      <c r="D30" s="9" t="s">
        <v>47</v>
      </c>
      <c r="E30" s="9" t="s">
        <v>47</v>
      </c>
      <c r="F30" s="9" t="s">
        <v>47</v>
      </c>
      <c r="G30" s="9" t="s">
        <v>48</v>
      </c>
      <c r="H30" s="9" t="s">
        <v>48</v>
      </c>
      <c r="I30" s="9" t="s">
        <v>49</v>
      </c>
      <c r="J30" s="9">
        <v>3</v>
      </c>
      <c r="K30" s="2" t="str">
        <f>INDEX(AnswerKey!$B$2:$B$7,MATCH(B30,AnswerKey!$A$2:$A$7,0))</f>
        <v>BUY</v>
      </c>
      <c r="L30" s="2" t="str">
        <f>INDEX(AnswerKey!$C$2:$C$7,MATCH(B30,AnswerKey!$A$2:$A$7,0))</f>
        <v>template</v>
      </c>
      <c r="M30" s="2">
        <f t="shared" si="0"/>
        <v>1</v>
      </c>
      <c r="N30" s="2">
        <f t="shared" si="1"/>
        <v>0</v>
      </c>
    </row>
    <row r="31" spans="1:14" ht="15" customHeight="1" x14ac:dyDescent="0.2">
      <c r="A31" s="2" t="s">
        <v>53</v>
      </c>
      <c r="B31" s="2" t="s">
        <v>32</v>
      </c>
      <c r="C31" s="9" t="s">
        <v>81</v>
      </c>
      <c r="D31" s="9" t="s">
        <v>47</v>
      </c>
      <c r="E31" s="9" t="s">
        <v>47</v>
      </c>
      <c r="F31" s="9" t="s">
        <v>47</v>
      </c>
      <c r="G31" s="9" t="s">
        <v>47</v>
      </c>
      <c r="H31" s="9" t="s">
        <v>48</v>
      </c>
      <c r="I31" s="9" t="s">
        <v>82</v>
      </c>
      <c r="J31" s="9">
        <v>4</v>
      </c>
      <c r="K31" s="2" t="str">
        <f>INDEX(AnswerKey!$B$2:$B$7,MATCH(B31,AnswerKey!$A$2:$A$7,0))</f>
        <v>SELL</v>
      </c>
      <c r="L31" s="2" t="str">
        <f>INDEX(AnswerKey!$C$2:$C$7,MATCH(B31,AnswerKey!$A$2:$A$7,0))</f>
        <v>llm</v>
      </c>
      <c r="M31" s="2">
        <f t="shared" si="0"/>
        <v>1</v>
      </c>
      <c r="N31" s="2">
        <f t="shared" si="1"/>
        <v>1</v>
      </c>
    </row>
    <row r="32" spans="1:14" ht="15" customHeight="1" x14ac:dyDescent="0.2">
      <c r="A32" s="2" t="s">
        <v>54</v>
      </c>
      <c r="B32" s="2" t="s">
        <v>21</v>
      </c>
      <c r="C32" s="9" t="s">
        <v>46</v>
      </c>
      <c r="D32" s="9" t="s">
        <v>47</v>
      </c>
      <c r="E32" s="9" t="s">
        <v>47</v>
      </c>
      <c r="F32" s="9" t="s">
        <v>47</v>
      </c>
      <c r="G32" s="9" t="s">
        <v>48</v>
      </c>
      <c r="H32" s="9" t="s">
        <v>48</v>
      </c>
      <c r="I32" s="9" t="s">
        <v>83</v>
      </c>
      <c r="J32" s="9">
        <v>2</v>
      </c>
      <c r="K32" s="2" t="str">
        <f>INDEX(AnswerKey!$B$2:$B$7,MATCH(B32,AnswerKey!$A$2:$A$7,0))</f>
        <v>HOLD</v>
      </c>
      <c r="L32" s="2" t="str">
        <f>INDEX(AnswerKey!$C$2:$C$7,MATCH(B32,AnswerKey!$A$2:$A$7,0))</f>
        <v>template</v>
      </c>
      <c r="M32" s="2">
        <f t="shared" si="0"/>
        <v>1</v>
      </c>
      <c r="N32" s="2">
        <f t="shared" si="1"/>
        <v>0</v>
      </c>
    </row>
    <row r="33" spans="1:14" ht="15" customHeight="1" x14ac:dyDescent="0.2">
      <c r="A33" s="2" t="s">
        <v>54</v>
      </c>
      <c r="B33" s="2" t="s">
        <v>25</v>
      </c>
      <c r="C33" s="9" t="s">
        <v>80</v>
      </c>
      <c r="D33" s="9" t="s">
        <v>47</v>
      </c>
      <c r="E33" s="9" t="s">
        <v>47</v>
      </c>
      <c r="F33" s="9" t="s">
        <v>47</v>
      </c>
      <c r="G33" s="9" t="s">
        <v>48</v>
      </c>
      <c r="H33" s="9" t="s">
        <v>48</v>
      </c>
      <c r="I33" s="9" t="s">
        <v>49</v>
      </c>
      <c r="J33" s="9">
        <v>4</v>
      </c>
      <c r="K33" s="2" t="str">
        <f>INDEX(AnswerKey!$B$2:$B$7,MATCH(B33,AnswerKey!$A$2:$A$7,0))</f>
        <v>BUY</v>
      </c>
      <c r="L33" s="2" t="str">
        <f>INDEX(AnswerKey!$C$2:$C$7,MATCH(B33,AnswerKey!$A$2:$A$7,0))</f>
        <v>llm</v>
      </c>
      <c r="M33" s="2">
        <f t="shared" si="0"/>
        <v>1</v>
      </c>
      <c r="N33" s="2">
        <f t="shared" si="1"/>
        <v>0</v>
      </c>
    </row>
    <row r="34" spans="1:14" ht="15" customHeight="1" x14ac:dyDescent="0.2">
      <c r="A34" s="2" t="s">
        <v>54</v>
      </c>
      <c r="B34" s="2" t="s">
        <v>28</v>
      </c>
      <c r="C34" s="9" t="s">
        <v>81</v>
      </c>
      <c r="D34" s="9" t="s">
        <v>47</v>
      </c>
      <c r="E34" s="9" t="s">
        <v>47</v>
      </c>
      <c r="F34" s="9" t="s">
        <v>47</v>
      </c>
      <c r="G34" s="9" t="s">
        <v>48</v>
      </c>
      <c r="H34" s="9" t="s">
        <v>48</v>
      </c>
      <c r="I34" s="9" t="s">
        <v>83</v>
      </c>
      <c r="J34" s="9">
        <v>2</v>
      </c>
      <c r="K34" s="2" t="str">
        <f>INDEX(AnswerKey!$B$2:$B$7,MATCH(B34,AnswerKey!$A$2:$A$7,0))</f>
        <v>SELL</v>
      </c>
      <c r="L34" s="2" t="str">
        <f>INDEX(AnswerKey!$C$2:$C$7,MATCH(B34,AnswerKey!$A$2:$A$7,0))</f>
        <v>template</v>
      </c>
      <c r="M34" s="2">
        <f t="shared" ref="M34:M65" si="2">IF(C34="","",IF(UPPER(C34)=UPPER(K34),1,0))</f>
        <v>1</v>
      </c>
      <c r="N34" s="2">
        <f t="shared" ref="N34:N65" si="3">IF(C34="","",IF(OR(G34="Y",H34="Y"),1,0))</f>
        <v>0</v>
      </c>
    </row>
    <row r="35" spans="1:14" ht="15" customHeight="1" x14ac:dyDescent="0.2">
      <c r="A35" s="2" t="s">
        <v>54</v>
      </c>
      <c r="B35" s="2" t="s">
        <v>30</v>
      </c>
      <c r="C35" s="9" t="s">
        <v>46</v>
      </c>
      <c r="D35" s="9" t="s">
        <v>47</v>
      </c>
      <c r="E35" s="9" t="s">
        <v>47</v>
      </c>
      <c r="F35" s="9" t="s">
        <v>47</v>
      </c>
      <c r="G35" s="9" t="s">
        <v>48</v>
      </c>
      <c r="H35" s="9" t="s">
        <v>48</v>
      </c>
      <c r="I35" s="9" t="s">
        <v>83</v>
      </c>
      <c r="J35" s="9">
        <v>3</v>
      </c>
      <c r="K35" s="2" t="str">
        <f>INDEX(AnswerKey!$B$2:$B$7,MATCH(B35,AnswerKey!$A$2:$A$7,0))</f>
        <v>HOLD</v>
      </c>
      <c r="L35" s="2" t="str">
        <f>INDEX(AnswerKey!$C$2:$C$7,MATCH(B35,AnswerKey!$A$2:$A$7,0))</f>
        <v>llm</v>
      </c>
      <c r="M35" s="2">
        <f t="shared" si="2"/>
        <v>1</v>
      </c>
      <c r="N35" s="2">
        <f t="shared" si="3"/>
        <v>0</v>
      </c>
    </row>
    <row r="36" spans="1:14" ht="15" customHeight="1" x14ac:dyDescent="0.2">
      <c r="A36" s="2" t="s">
        <v>54</v>
      </c>
      <c r="B36" s="2" t="s">
        <v>31</v>
      </c>
      <c r="C36" s="9" t="s">
        <v>80</v>
      </c>
      <c r="D36" s="9" t="s">
        <v>47</v>
      </c>
      <c r="E36" s="9" t="s">
        <v>47</v>
      </c>
      <c r="F36" s="9" t="s">
        <v>47</v>
      </c>
      <c r="G36" s="9" t="s">
        <v>48</v>
      </c>
      <c r="H36" s="9" t="s">
        <v>48</v>
      </c>
      <c r="I36" s="9" t="s">
        <v>83</v>
      </c>
      <c r="J36" s="9">
        <v>3</v>
      </c>
      <c r="K36" s="2" t="str">
        <f>INDEX(AnswerKey!$B$2:$B$7,MATCH(B36,AnswerKey!$A$2:$A$7,0))</f>
        <v>BUY</v>
      </c>
      <c r="L36" s="2" t="str">
        <f>INDEX(AnswerKey!$C$2:$C$7,MATCH(B36,AnswerKey!$A$2:$A$7,0))</f>
        <v>template</v>
      </c>
      <c r="M36" s="2">
        <f t="shared" si="2"/>
        <v>1</v>
      </c>
      <c r="N36" s="2">
        <f t="shared" si="3"/>
        <v>0</v>
      </c>
    </row>
    <row r="37" spans="1:14" ht="15" customHeight="1" x14ac:dyDescent="0.2">
      <c r="A37" s="2" t="s">
        <v>54</v>
      </c>
      <c r="B37" s="2" t="s">
        <v>32</v>
      </c>
      <c r="C37" s="9" t="s">
        <v>81</v>
      </c>
      <c r="D37" s="9" t="s">
        <v>47</v>
      </c>
      <c r="E37" s="9" t="s">
        <v>47</v>
      </c>
      <c r="F37" s="9" t="s">
        <v>47</v>
      </c>
      <c r="G37" s="9" t="s">
        <v>48</v>
      </c>
      <c r="H37" s="9" t="s">
        <v>48</v>
      </c>
      <c r="I37" s="9" t="s">
        <v>49</v>
      </c>
      <c r="J37" s="9">
        <v>4</v>
      </c>
      <c r="K37" s="2" t="str">
        <f>INDEX(AnswerKey!$B$2:$B$7,MATCH(B37,AnswerKey!$A$2:$A$7,0))</f>
        <v>SELL</v>
      </c>
      <c r="L37" s="2" t="str">
        <f>INDEX(AnswerKey!$C$2:$C$7,MATCH(B37,AnswerKey!$A$2:$A$7,0))</f>
        <v>llm</v>
      </c>
      <c r="M37" s="2">
        <f t="shared" si="2"/>
        <v>1</v>
      </c>
      <c r="N37" s="2">
        <f t="shared" si="3"/>
        <v>0</v>
      </c>
    </row>
    <row r="38" spans="1:14" ht="15" customHeight="1" x14ac:dyDescent="0.2">
      <c r="A38" s="2" t="s">
        <v>55</v>
      </c>
      <c r="B38" s="2" t="s">
        <v>21</v>
      </c>
      <c r="C38" s="9" t="s">
        <v>46</v>
      </c>
      <c r="D38" s="9" t="s">
        <v>47</v>
      </c>
      <c r="E38" s="9" t="s">
        <v>47</v>
      </c>
      <c r="F38" s="9" t="s">
        <v>47</v>
      </c>
      <c r="G38" s="9" t="s">
        <v>48</v>
      </c>
      <c r="H38" s="9" t="s">
        <v>48</v>
      </c>
      <c r="I38" s="9" t="s">
        <v>49</v>
      </c>
      <c r="J38" s="9">
        <v>4</v>
      </c>
      <c r="K38" s="2" t="str">
        <f>INDEX(AnswerKey!$B$2:$B$7,MATCH(B38,AnswerKey!$A$2:$A$7,0))</f>
        <v>HOLD</v>
      </c>
      <c r="L38" s="2" t="str">
        <f>INDEX(AnswerKey!$C$2:$C$7,MATCH(B38,AnswerKey!$A$2:$A$7,0))</f>
        <v>template</v>
      </c>
      <c r="M38" s="2">
        <f t="shared" si="2"/>
        <v>1</v>
      </c>
      <c r="N38" s="2">
        <f t="shared" si="3"/>
        <v>0</v>
      </c>
    </row>
    <row r="39" spans="1:14" ht="15" customHeight="1" x14ac:dyDescent="0.2">
      <c r="A39" s="2" t="s">
        <v>55</v>
      </c>
      <c r="B39" s="2" t="s">
        <v>25</v>
      </c>
      <c r="C39" s="9" t="s">
        <v>80</v>
      </c>
      <c r="D39" s="9" t="s">
        <v>47</v>
      </c>
      <c r="E39" s="9" t="s">
        <v>47</v>
      </c>
      <c r="F39" s="9" t="s">
        <v>47</v>
      </c>
      <c r="G39" s="9" t="s">
        <v>48</v>
      </c>
      <c r="H39" s="9" t="s">
        <v>48</v>
      </c>
      <c r="I39" s="9" t="s">
        <v>49</v>
      </c>
      <c r="J39" s="9">
        <v>5</v>
      </c>
      <c r="K39" s="2" t="str">
        <f>INDEX(AnswerKey!$B$2:$B$7,MATCH(B39,AnswerKey!$A$2:$A$7,0))</f>
        <v>BUY</v>
      </c>
      <c r="L39" s="2" t="str">
        <f>INDEX(AnswerKey!$C$2:$C$7,MATCH(B39,AnswerKey!$A$2:$A$7,0))</f>
        <v>llm</v>
      </c>
      <c r="M39" s="2">
        <f t="shared" si="2"/>
        <v>1</v>
      </c>
      <c r="N39" s="2">
        <f t="shared" si="3"/>
        <v>0</v>
      </c>
    </row>
    <row r="40" spans="1:14" ht="15" customHeight="1" x14ac:dyDescent="0.2">
      <c r="A40" s="2" t="s">
        <v>55</v>
      </c>
      <c r="B40" s="2" t="s">
        <v>28</v>
      </c>
      <c r="C40" s="9" t="s">
        <v>81</v>
      </c>
      <c r="D40" s="9" t="s">
        <v>47</v>
      </c>
      <c r="E40" s="9" t="s">
        <v>47</v>
      </c>
      <c r="F40" s="9" t="s">
        <v>47</v>
      </c>
      <c r="G40" s="9" t="s">
        <v>48</v>
      </c>
      <c r="H40" s="9" t="s">
        <v>48</v>
      </c>
      <c r="I40" s="9" t="s">
        <v>49</v>
      </c>
      <c r="J40" s="9">
        <v>3</v>
      </c>
      <c r="K40" s="2" t="str">
        <f>INDEX(AnswerKey!$B$2:$B$7,MATCH(B40,AnswerKey!$A$2:$A$7,0))</f>
        <v>SELL</v>
      </c>
      <c r="L40" s="2" t="str">
        <f>INDEX(AnswerKey!$C$2:$C$7,MATCH(B40,AnswerKey!$A$2:$A$7,0))</f>
        <v>template</v>
      </c>
      <c r="M40" s="2">
        <f t="shared" si="2"/>
        <v>1</v>
      </c>
      <c r="N40" s="2">
        <f t="shared" si="3"/>
        <v>0</v>
      </c>
    </row>
    <row r="41" spans="1:14" ht="15" customHeight="1" x14ac:dyDescent="0.2">
      <c r="A41" s="2" t="s">
        <v>55</v>
      </c>
      <c r="B41" s="2" t="s">
        <v>30</v>
      </c>
      <c r="C41" s="9" t="s">
        <v>46</v>
      </c>
      <c r="D41" s="9" t="s">
        <v>47</v>
      </c>
      <c r="E41" s="9" t="s">
        <v>47</v>
      </c>
      <c r="F41" s="9" t="s">
        <v>47</v>
      </c>
      <c r="G41" s="9" t="s">
        <v>48</v>
      </c>
      <c r="H41" s="9" t="s">
        <v>48</v>
      </c>
      <c r="I41" s="9" t="s">
        <v>49</v>
      </c>
      <c r="J41" s="9">
        <v>4</v>
      </c>
      <c r="K41" s="2" t="str">
        <f>INDEX(AnswerKey!$B$2:$B$7,MATCH(B41,AnswerKey!$A$2:$A$7,0))</f>
        <v>HOLD</v>
      </c>
      <c r="L41" s="2" t="str">
        <f>INDEX(AnswerKey!$C$2:$C$7,MATCH(B41,AnswerKey!$A$2:$A$7,0))</f>
        <v>llm</v>
      </c>
      <c r="M41" s="2">
        <f t="shared" si="2"/>
        <v>1</v>
      </c>
      <c r="N41" s="2">
        <f t="shared" si="3"/>
        <v>0</v>
      </c>
    </row>
    <row r="42" spans="1:14" ht="15" customHeight="1" x14ac:dyDescent="0.2">
      <c r="A42" s="2" t="s">
        <v>55</v>
      </c>
      <c r="B42" s="2" t="s">
        <v>31</v>
      </c>
      <c r="C42" s="9" t="s">
        <v>80</v>
      </c>
      <c r="D42" s="9" t="s">
        <v>47</v>
      </c>
      <c r="E42" s="9" t="s">
        <v>47</v>
      </c>
      <c r="F42" s="9" t="s">
        <v>47</v>
      </c>
      <c r="G42" s="9" t="s">
        <v>48</v>
      </c>
      <c r="H42" s="9" t="s">
        <v>48</v>
      </c>
      <c r="I42" s="9" t="s">
        <v>49</v>
      </c>
      <c r="J42" s="9">
        <v>4</v>
      </c>
      <c r="K42" s="2" t="str">
        <f>INDEX(AnswerKey!$B$2:$B$7,MATCH(B42,AnswerKey!$A$2:$A$7,0))</f>
        <v>BUY</v>
      </c>
      <c r="L42" s="2" t="str">
        <f>INDEX(AnswerKey!$C$2:$C$7,MATCH(B42,AnswerKey!$A$2:$A$7,0))</f>
        <v>template</v>
      </c>
      <c r="M42" s="2">
        <f t="shared" si="2"/>
        <v>1</v>
      </c>
      <c r="N42" s="2">
        <f t="shared" si="3"/>
        <v>0</v>
      </c>
    </row>
    <row r="43" spans="1:14" ht="15" customHeight="1" x14ac:dyDescent="0.2">
      <c r="A43" s="2" t="s">
        <v>55</v>
      </c>
      <c r="B43" s="2" t="s">
        <v>32</v>
      </c>
      <c r="C43" s="9" t="s">
        <v>81</v>
      </c>
      <c r="D43" s="9" t="s">
        <v>47</v>
      </c>
      <c r="E43" s="9" t="s">
        <v>47</v>
      </c>
      <c r="F43" s="9" t="s">
        <v>47</v>
      </c>
      <c r="G43" s="9" t="s">
        <v>48</v>
      </c>
      <c r="H43" s="9" t="s">
        <v>48</v>
      </c>
      <c r="I43" s="9" t="s">
        <v>82</v>
      </c>
      <c r="J43" s="9">
        <v>3</v>
      </c>
      <c r="K43" s="2" t="str">
        <f>INDEX(AnswerKey!$B$2:$B$7,MATCH(B43,AnswerKey!$A$2:$A$7,0))</f>
        <v>SELL</v>
      </c>
      <c r="L43" s="2" t="str">
        <f>INDEX(AnswerKey!$C$2:$C$7,MATCH(B43,AnswerKey!$A$2:$A$7,0))</f>
        <v>llm</v>
      </c>
      <c r="M43" s="2">
        <f t="shared" si="2"/>
        <v>1</v>
      </c>
      <c r="N43" s="2">
        <f t="shared" si="3"/>
        <v>0</v>
      </c>
    </row>
    <row r="44" spans="1:14" ht="15" customHeight="1" x14ac:dyDescent="0.2">
      <c r="A44" s="2" t="s">
        <v>56</v>
      </c>
      <c r="B44" s="2" t="s">
        <v>21</v>
      </c>
      <c r="C44" s="9" t="s">
        <v>46</v>
      </c>
      <c r="D44" s="9" t="s">
        <v>47</v>
      </c>
      <c r="E44" s="9" t="s">
        <v>47</v>
      </c>
      <c r="F44" s="9" t="s">
        <v>47</v>
      </c>
      <c r="G44" s="9" t="s">
        <v>48</v>
      </c>
      <c r="H44" s="9" t="s">
        <v>48</v>
      </c>
      <c r="I44" s="9" t="s">
        <v>49</v>
      </c>
      <c r="J44" s="9">
        <v>3</v>
      </c>
      <c r="K44" s="2" t="str">
        <f>INDEX(AnswerKey!$B$2:$B$7,MATCH(B44,AnswerKey!$A$2:$A$7,0))</f>
        <v>HOLD</v>
      </c>
      <c r="L44" s="2" t="str">
        <f>INDEX(AnswerKey!$C$2:$C$7,MATCH(B44,AnswerKey!$A$2:$A$7,0))</f>
        <v>template</v>
      </c>
      <c r="M44" s="2">
        <f t="shared" si="2"/>
        <v>1</v>
      </c>
      <c r="N44" s="2">
        <f t="shared" si="3"/>
        <v>0</v>
      </c>
    </row>
    <row r="45" spans="1:14" ht="15" customHeight="1" x14ac:dyDescent="0.2">
      <c r="A45" s="2" t="s">
        <v>56</v>
      </c>
      <c r="B45" s="2" t="s">
        <v>25</v>
      </c>
      <c r="C45" s="9" t="s">
        <v>80</v>
      </c>
      <c r="D45" s="9" t="s">
        <v>47</v>
      </c>
      <c r="E45" s="9" t="s">
        <v>48</v>
      </c>
      <c r="F45" s="9" t="s">
        <v>47</v>
      </c>
      <c r="G45" s="9" t="s">
        <v>48</v>
      </c>
      <c r="H45" s="9" t="s">
        <v>48</v>
      </c>
      <c r="I45" s="9" t="s">
        <v>49</v>
      </c>
      <c r="J45" s="9">
        <v>4</v>
      </c>
      <c r="K45" s="2" t="str">
        <f>INDEX(AnswerKey!$B$2:$B$7,MATCH(B45,AnswerKey!$A$2:$A$7,0))</f>
        <v>BUY</v>
      </c>
      <c r="L45" s="2" t="str">
        <f>INDEX(AnswerKey!$C$2:$C$7,MATCH(B45,AnswerKey!$A$2:$A$7,0))</f>
        <v>llm</v>
      </c>
      <c r="M45" s="2">
        <f t="shared" si="2"/>
        <v>1</v>
      </c>
      <c r="N45" s="2">
        <f t="shared" si="3"/>
        <v>0</v>
      </c>
    </row>
    <row r="46" spans="1:14" ht="15" customHeight="1" x14ac:dyDescent="0.2">
      <c r="A46" s="2" t="s">
        <v>56</v>
      </c>
      <c r="B46" s="2" t="s">
        <v>28</v>
      </c>
      <c r="C46" s="9" t="s">
        <v>46</v>
      </c>
      <c r="D46" s="9" t="s">
        <v>47</v>
      </c>
      <c r="E46" s="9" t="s">
        <v>47</v>
      </c>
      <c r="F46" s="9" t="s">
        <v>47</v>
      </c>
      <c r="G46" s="9" t="s">
        <v>48</v>
      </c>
      <c r="H46" s="9" t="s">
        <v>48</v>
      </c>
      <c r="I46" s="9" t="s">
        <v>49</v>
      </c>
      <c r="J46" s="9">
        <v>2</v>
      </c>
      <c r="K46" s="2" t="str">
        <f>INDEX(AnswerKey!$B$2:$B$7,MATCH(B46,AnswerKey!$A$2:$A$7,0))</f>
        <v>SELL</v>
      </c>
      <c r="L46" s="2" t="str">
        <f>INDEX(AnswerKey!$C$2:$C$7,MATCH(B46,AnswerKey!$A$2:$A$7,0))</f>
        <v>template</v>
      </c>
      <c r="M46" s="2">
        <f t="shared" si="2"/>
        <v>0</v>
      </c>
      <c r="N46" s="2">
        <f t="shared" si="3"/>
        <v>0</v>
      </c>
    </row>
    <row r="47" spans="1:14" ht="15" customHeight="1" x14ac:dyDescent="0.2">
      <c r="A47" s="2" t="s">
        <v>56</v>
      </c>
      <c r="B47" s="2" t="s">
        <v>30</v>
      </c>
      <c r="C47" s="9" t="s">
        <v>46</v>
      </c>
      <c r="D47" s="9" t="s">
        <v>47</v>
      </c>
      <c r="E47" s="9" t="s">
        <v>47</v>
      </c>
      <c r="F47" s="9" t="s">
        <v>47</v>
      </c>
      <c r="G47" s="9" t="s">
        <v>48</v>
      </c>
      <c r="H47" s="9" t="s">
        <v>48</v>
      </c>
      <c r="I47" s="9" t="s">
        <v>49</v>
      </c>
      <c r="J47" s="9">
        <v>3</v>
      </c>
      <c r="K47" s="2" t="str">
        <f>INDEX(AnswerKey!$B$2:$B$7,MATCH(B47,AnswerKey!$A$2:$A$7,0))</f>
        <v>HOLD</v>
      </c>
      <c r="L47" s="2" t="str">
        <f>INDEX(AnswerKey!$C$2:$C$7,MATCH(B47,AnswerKey!$A$2:$A$7,0))</f>
        <v>llm</v>
      </c>
      <c r="M47" s="2">
        <f t="shared" si="2"/>
        <v>1</v>
      </c>
      <c r="N47" s="2">
        <f t="shared" si="3"/>
        <v>0</v>
      </c>
    </row>
    <row r="48" spans="1:14" ht="15" customHeight="1" x14ac:dyDescent="0.2">
      <c r="A48" s="2" t="s">
        <v>56</v>
      </c>
      <c r="B48" s="2" t="s">
        <v>31</v>
      </c>
      <c r="C48" s="9" t="s">
        <v>80</v>
      </c>
      <c r="D48" s="9" t="s">
        <v>47</v>
      </c>
      <c r="E48" s="9" t="s">
        <v>47</v>
      </c>
      <c r="F48" s="9" t="s">
        <v>47</v>
      </c>
      <c r="G48" s="9" t="s">
        <v>48</v>
      </c>
      <c r="H48" s="9" t="s">
        <v>48</v>
      </c>
      <c r="I48" s="9" t="s">
        <v>49</v>
      </c>
      <c r="J48" s="9">
        <v>3</v>
      </c>
      <c r="K48" s="2" t="str">
        <f>INDEX(AnswerKey!$B$2:$B$7,MATCH(B48,AnswerKey!$A$2:$A$7,0))</f>
        <v>BUY</v>
      </c>
      <c r="L48" s="2" t="str">
        <f>INDEX(AnswerKey!$C$2:$C$7,MATCH(B48,AnswerKey!$A$2:$A$7,0))</f>
        <v>template</v>
      </c>
      <c r="M48" s="2">
        <f t="shared" si="2"/>
        <v>1</v>
      </c>
      <c r="N48" s="2">
        <f t="shared" si="3"/>
        <v>0</v>
      </c>
    </row>
    <row r="49" spans="1:14" ht="15" customHeight="1" x14ac:dyDescent="0.2">
      <c r="A49" s="2" t="s">
        <v>56</v>
      </c>
      <c r="B49" s="2" t="s">
        <v>32</v>
      </c>
      <c r="C49" s="9" t="s">
        <v>81</v>
      </c>
      <c r="D49" s="9" t="s">
        <v>47</v>
      </c>
      <c r="E49" s="9" t="s">
        <v>47</v>
      </c>
      <c r="F49" s="9" t="s">
        <v>47</v>
      </c>
      <c r="G49" s="9" t="s">
        <v>48</v>
      </c>
      <c r="H49" s="9" t="s">
        <v>48</v>
      </c>
      <c r="I49" s="9" t="s">
        <v>82</v>
      </c>
      <c r="J49" s="9">
        <v>4</v>
      </c>
      <c r="K49" s="2" t="str">
        <f>INDEX(AnswerKey!$B$2:$B$7,MATCH(B49,AnswerKey!$A$2:$A$7,0))</f>
        <v>SELL</v>
      </c>
      <c r="L49" s="2" t="str">
        <f>INDEX(AnswerKey!$C$2:$C$7,MATCH(B49,AnswerKey!$A$2:$A$7,0))</f>
        <v>llm</v>
      </c>
      <c r="M49" s="2">
        <f t="shared" si="2"/>
        <v>1</v>
      </c>
      <c r="N49" s="2">
        <f t="shared" si="3"/>
        <v>0</v>
      </c>
    </row>
    <row r="50" spans="1:14" ht="15" customHeight="1" x14ac:dyDescent="0.2">
      <c r="A50" s="2" t="s">
        <v>57</v>
      </c>
      <c r="B50" s="2" t="s">
        <v>21</v>
      </c>
      <c r="C50" s="9" t="s">
        <v>46</v>
      </c>
      <c r="D50" s="9" t="s">
        <v>47</v>
      </c>
      <c r="E50" s="9" t="s">
        <v>48</v>
      </c>
      <c r="F50" s="9" t="s">
        <v>48</v>
      </c>
      <c r="G50" s="9" t="s">
        <v>48</v>
      </c>
      <c r="H50" s="9" t="s">
        <v>48</v>
      </c>
      <c r="I50" s="9" t="s">
        <v>49</v>
      </c>
      <c r="J50" s="9">
        <v>2</v>
      </c>
      <c r="K50" s="2" t="str">
        <f>INDEX(AnswerKey!$B$2:$B$7,MATCH(B50,AnswerKey!$A$2:$A$7,0))</f>
        <v>HOLD</v>
      </c>
      <c r="L50" s="2" t="str">
        <f>INDEX(AnswerKey!$C$2:$C$7,MATCH(B50,AnswerKey!$A$2:$A$7,0))</f>
        <v>template</v>
      </c>
      <c r="M50" s="2">
        <f t="shared" si="2"/>
        <v>1</v>
      </c>
      <c r="N50" s="2">
        <f t="shared" si="3"/>
        <v>0</v>
      </c>
    </row>
    <row r="51" spans="1:14" ht="15" customHeight="1" x14ac:dyDescent="0.2">
      <c r="A51" s="2" t="s">
        <v>57</v>
      </c>
      <c r="B51" s="2" t="s">
        <v>25</v>
      </c>
      <c r="C51" s="9" t="s">
        <v>80</v>
      </c>
      <c r="D51" s="9" t="s">
        <v>47</v>
      </c>
      <c r="E51" s="9" t="s">
        <v>48</v>
      </c>
      <c r="F51" s="9" t="s">
        <v>47</v>
      </c>
      <c r="G51" s="9" t="s">
        <v>48</v>
      </c>
      <c r="H51" s="9" t="s">
        <v>48</v>
      </c>
      <c r="I51" s="9" t="s">
        <v>82</v>
      </c>
      <c r="J51" s="9">
        <v>4</v>
      </c>
      <c r="K51" s="2" t="str">
        <f>INDEX(AnswerKey!$B$2:$B$7,MATCH(B51,AnswerKey!$A$2:$A$7,0))</f>
        <v>BUY</v>
      </c>
      <c r="L51" s="2" t="str">
        <f>INDEX(AnswerKey!$C$2:$C$7,MATCH(B51,AnswerKey!$A$2:$A$7,0))</f>
        <v>llm</v>
      </c>
      <c r="M51" s="2">
        <f t="shared" si="2"/>
        <v>1</v>
      </c>
      <c r="N51" s="2">
        <f t="shared" si="3"/>
        <v>0</v>
      </c>
    </row>
    <row r="52" spans="1:14" ht="15" customHeight="1" x14ac:dyDescent="0.2">
      <c r="A52" s="2" t="s">
        <v>57</v>
      </c>
      <c r="B52" s="2" t="s">
        <v>28</v>
      </c>
      <c r="C52" s="9" t="s">
        <v>81</v>
      </c>
      <c r="D52" s="9" t="s">
        <v>48</v>
      </c>
      <c r="E52" s="9" t="s">
        <v>48</v>
      </c>
      <c r="F52" s="9" t="s">
        <v>47</v>
      </c>
      <c r="G52" s="9" t="s">
        <v>48</v>
      </c>
      <c r="H52" s="9" t="s">
        <v>48</v>
      </c>
      <c r="I52" s="9" t="s">
        <v>83</v>
      </c>
      <c r="J52" s="9">
        <v>2</v>
      </c>
      <c r="K52" s="2" t="str">
        <f>INDEX(AnswerKey!$B$2:$B$7,MATCH(B52,AnswerKey!$A$2:$A$7,0))</f>
        <v>SELL</v>
      </c>
      <c r="L52" s="2" t="str">
        <f>INDEX(AnswerKey!$C$2:$C$7,MATCH(B52,AnswerKey!$A$2:$A$7,0))</f>
        <v>template</v>
      </c>
      <c r="M52" s="2">
        <f t="shared" si="2"/>
        <v>1</v>
      </c>
      <c r="N52" s="2">
        <f t="shared" si="3"/>
        <v>0</v>
      </c>
    </row>
    <row r="53" spans="1:14" ht="15" customHeight="1" x14ac:dyDescent="0.2">
      <c r="A53" s="2" t="s">
        <v>57</v>
      </c>
      <c r="B53" s="2" t="s">
        <v>30</v>
      </c>
      <c r="C53" s="9" t="s">
        <v>46</v>
      </c>
      <c r="D53" s="9" t="s">
        <v>47</v>
      </c>
      <c r="E53" s="9" t="s">
        <v>48</v>
      </c>
      <c r="F53" s="9" t="s">
        <v>48</v>
      </c>
      <c r="G53" s="9" t="s">
        <v>48</v>
      </c>
      <c r="H53" s="9" t="s">
        <v>48</v>
      </c>
      <c r="I53" s="9" t="s">
        <v>49</v>
      </c>
      <c r="J53" s="9">
        <v>2</v>
      </c>
      <c r="K53" s="2" t="str">
        <f>INDEX(AnswerKey!$B$2:$B$7,MATCH(B53,AnswerKey!$A$2:$A$7,0))</f>
        <v>HOLD</v>
      </c>
      <c r="L53" s="2" t="str">
        <f>INDEX(AnswerKey!$C$2:$C$7,MATCH(B53,AnswerKey!$A$2:$A$7,0))</f>
        <v>llm</v>
      </c>
      <c r="M53" s="2">
        <f t="shared" si="2"/>
        <v>1</v>
      </c>
      <c r="N53" s="2">
        <f t="shared" si="3"/>
        <v>0</v>
      </c>
    </row>
    <row r="54" spans="1:14" ht="15" customHeight="1" x14ac:dyDescent="0.2">
      <c r="A54" s="2" t="s">
        <v>57</v>
      </c>
      <c r="B54" s="2" t="s">
        <v>31</v>
      </c>
      <c r="C54" s="9" t="s">
        <v>80</v>
      </c>
      <c r="D54" s="9" t="s">
        <v>47</v>
      </c>
      <c r="E54" s="9" t="s">
        <v>48</v>
      </c>
      <c r="F54" s="9" t="s">
        <v>47</v>
      </c>
      <c r="G54" s="9" t="s">
        <v>48</v>
      </c>
      <c r="H54" s="9" t="s">
        <v>48</v>
      </c>
      <c r="I54" s="9" t="s">
        <v>49</v>
      </c>
      <c r="J54" s="9">
        <v>3</v>
      </c>
      <c r="K54" s="2" t="str">
        <f>INDEX(AnswerKey!$B$2:$B$7,MATCH(B54,AnswerKey!$A$2:$A$7,0))</f>
        <v>BUY</v>
      </c>
      <c r="L54" s="2" t="str">
        <f>INDEX(AnswerKey!$C$2:$C$7,MATCH(B54,AnswerKey!$A$2:$A$7,0))</f>
        <v>template</v>
      </c>
      <c r="M54" s="2">
        <f t="shared" si="2"/>
        <v>1</v>
      </c>
      <c r="N54" s="2">
        <f t="shared" si="3"/>
        <v>0</v>
      </c>
    </row>
    <row r="55" spans="1:14" ht="15" customHeight="1" x14ac:dyDescent="0.2">
      <c r="A55" s="2" t="s">
        <v>57</v>
      </c>
      <c r="B55" s="2" t="s">
        <v>32</v>
      </c>
      <c r="C55" s="9" t="s">
        <v>81</v>
      </c>
      <c r="D55" s="9" t="s">
        <v>47</v>
      </c>
      <c r="E55" s="9" t="s">
        <v>47</v>
      </c>
      <c r="F55" s="9" t="s">
        <v>47</v>
      </c>
      <c r="G55" s="9" t="s">
        <v>48</v>
      </c>
      <c r="H55" s="9" t="s">
        <v>48</v>
      </c>
      <c r="I55" s="9" t="s">
        <v>82</v>
      </c>
      <c r="J55" s="9">
        <v>5</v>
      </c>
      <c r="K55" s="2" t="str">
        <f>INDEX(AnswerKey!$B$2:$B$7,MATCH(B55,AnswerKey!$A$2:$A$7,0))</f>
        <v>SELL</v>
      </c>
      <c r="L55" s="2" t="str">
        <f>INDEX(AnswerKey!$C$2:$C$7,MATCH(B55,AnswerKey!$A$2:$A$7,0))</f>
        <v>llm</v>
      </c>
      <c r="M55" s="2">
        <f t="shared" si="2"/>
        <v>1</v>
      </c>
      <c r="N55" s="2">
        <f t="shared" si="3"/>
        <v>0</v>
      </c>
    </row>
    <row r="56" spans="1:14" ht="15" customHeight="1" x14ac:dyDescent="0.2">
      <c r="A56" s="2" t="s">
        <v>58</v>
      </c>
      <c r="B56" s="2" t="s">
        <v>21</v>
      </c>
      <c r="C56" s="9" t="s">
        <v>46</v>
      </c>
      <c r="D56" s="9" t="s">
        <v>47</v>
      </c>
      <c r="E56" s="9" t="s">
        <v>47</v>
      </c>
      <c r="F56" s="9" t="s">
        <v>47</v>
      </c>
      <c r="G56" s="9" t="s">
        <v>48</v>
      </c>
      <c r="H56" s="9" t="s">
        <v>48</v>
      </c>
      <c r="I56" s="9" t="s">
        <v>49</v>
      </c>
      <c r="J56" s="9">
        <v>3</v>
      </c>
      <c r="K56" s="2" t="str">
        <f>INDEX(AnswerKey!$B$2:$B$7,MATCH(B56,AnswerKey!$A$2:$A$7,0))</f>
        <v>HOLD</v>
      </c>
      <c r="L56" s="2" t="str">
        <f>INDEX(AnswerKey!$C$2:$C$7,MATCH(B56,AnswerKey!$A$2:$A$7,0))</f>
        <v>template</v>
      </c>
      <c r="M56" s="2">
        <f t="shared" si="2"/>
        <v>1</v>
      </c>
      <c r="N56" s="2">
        <f t="shared" si="3"/>
        <v>0</v>
      </c>
    </row>
    <row r="57" spans="1:14" ht="15" customHeight="1" x14ac:dyDescent="0.2">
      <c r="A57" s="2" t="s">
        <v>58</v>
      </c>
      <c r="B57" s="2" t="s">
        <v>25</v>
      </c>
      <c r="C57" s="9" t="s">
        <v>80</v>
      </c>
      <c r="D57" s="9" t="s">
        <v>47</v>
      </c>
      <c r="E57" s="9" t="s">
        <v>47</v>
      </c>
      <c r="F57" s="9" t="s">
        <v>47</v>
      </c>
      <c r="G57" s="9" t="s">
        <v>48</v>
      </c>
      <c r="H57" s="9" t="s">
        <v>47</v>
      </c>
      <c r="I57" s="9" t="s">
        <v>49</v>
      </c>
      <c r="J57" s="9">
        <v>5</v>
      </c>
      <c r="K57" s="2" t="str">
        <f>INDEX(AnswerKey!$B$2:$B$7,MATCH(B57,AnswerKey!$A$2:$A$7,0))</f>
        <v>BUY</v>
      </c>
      <c r="L57" s="2" t="str">
        <f>INDEX(AnswerKey!$C$2:$C$7,MATCH(B57,AnswerKey!$A$2:$A$7,0))</f>
        <v>llm</v>
      </c>
      <c r="M57" s="2">
        <f t="shared" si="2"/>
        <v>1</v>
      </c>
      <c r="N57" s="2">
        <f t="shared" si="3"/>
        <v>1</v>
      </c>
    </row>
    <row r="58" spans="1:14" ht="15" customHeight="1" x14ac:dyDescent="0.2">
      <c r="A58" s="2" t="s">
        <v>58</v>
      </c>
      <c r="B58" s="2" t="s">
        <v>28</v>
      </c>
      <c r="C58" s="9" t="s">
        <v>84</v>
      </c>
      <c r="D58" s="9" t="s">
        <v>47</v>
      </c>
      <c r="E58" s="9" t="s">
        <v>47</v>
      </c>
      <c r="F58" s="9" t="s">
        <v>47</v>
      </c>
      <c r="G58" s="9" t="s">
        <v>48</v>
      </c>
      <c r="H58" s="9" t="s">
        <v>48</v>
      </c>
      <c r="I58" s="9" t="s">
        <v>83</v>
      </c>
      <c r="J58" s="9">
        <v>2</v>
      </c>
      <c r="K58" s="2" t="str">
        <f>INDEX(AnswerKey!$B$2:$B$7,MATCH(B58,AnswerKey!$A$2:$A$7,0))</f>
        <v>SELL</v>
      </c>
      <c r="L58" s="2" t="str">
        <f>INDEX(AnswerKey!$C$2:$C$7,MATCH(B58,AnswerKey!$A$2:$A$7,0))</f>
        <v>template</v>
      </c>
      <c r="M58" s="2">
        <f t="shared" si="2"/>
        <v>0</v>
      </c>
      <c r="N58" s="2">
        <f t="shared" si="3"/>
        <v>0</v>
      </c>
    </row>
    <row r="59" spans="1:14" ht="15" customHeight="1" x14ac:dyDescent="0.2">
      <c r="A59" s="2" t="s">
        <v>58</v>
      </c>
      <c r="B59" s="2" t="s">
        <v>30</v>
      </c>
      <c r="C59" s="9" t="s">
        <v>46</v>
      </c>
      <c r="D59" s="9" t="s">
        <v>47</v>
      </c>
      <c r="E59" s="9" t="s">
        <v>47</v>
      </c>
      <c r="F59" s="9" t="s">
        <v>47</v>
      </c>
      <c r="G59" s="9" t="s">
        <v>48</v>
      </c>
      <c r="H59" s="9" t="s">
        <v>48</v>
      </c>
      <c r="I59" s="9" t="s">
        <v>49</v>
      </c>
      <c r="J59" s="9">
        <v>3</v>
      </c>
      <c r="K59" s="2" t="str">
        <f>INDEX(AnswerKey!$B$2:$B$7,MATCH(B59,AnswerKey!$A$2:$A$7,0))</f>
        <v>HOLD</v>
      </c>
      <c r="L59" s="2" t="str">
        <f>INDEX(AnswerKey!$C$2:$C$7,MATCH(B59,AnswerKey!$A$2:$A$7,0))</f>
        <v>llm</v>
      </c>
      <c r="M59" s="2">
        <f t="shared" si="2"/>
        <v>1</v>
      </c>
      <c r="N59" s="2">
        <f t="shared" si="3"/>
        <v>0</v>
      </c>
    </row>
    <row r="60" spans="1:14" ht="15" customHeight="1" x14ac:dyDescent="0.2">
      <c r="A60" s="2" t="s">
        <v>58</v>
      </c>
      <c r="B60" s="2" t="s">
        <v>31</v>
      </c>
      <c r="C60" s="9" t="s">
        <v>80</v>
      </c>
      <c r="D60" s="9" t="s">
        <v>47</v>
      </c>
      <c r="E60" s="9" t="s">
        <v>47</v>
      </c>
      <c r="F60" s="9" t="s">
        <v>47</v>
      </c>
      <c r="G60" s="9" t="s">
        <v>48</v>
      </c>
      <c r="H60" s="9" t="s">
        <v>48</v>
      </c>
      <c r="I60" s="9" t="s">
        <v>82</v>
      </c>
      <c r="J60" s="9">
        <v>3</v>
      </c>
      <c r="K60" s="2" t="str">
        <f>INDEX(AnswerKey!$B$2:$B$7,MATCH(B60,AnswerKey!$A$2:$A$7,0))</f>
        <v>BUY</v>
      </c>
      <c r="L60" s="2" t="str">
        <f>INDEX(AnswerKey!$C$2:$C$7,MATCH(B60,AnswerKey!$A$2:$A$7,0))</f>
        <v>template</v>
      </c>
      <c r="M60" s="2">
        <f t="shared" si="2"/>
        <v>1</v>
      </c>
      <c r="N60" s="2">
        <f t="shared" si="3"/>
        <v>0</v>
      </c>
    </row>
    <row r="61" spans="1:14" ht="15" customHeight="1" x14ac:dyDescent="0.2">
      <c r="A61" s="2" t="s">
        <v>58</v>
      </c>
      <c r="B61" s="2" t="s">
        <v>32</v>
      </c>
      <c r="C61" s="9" t="s">
        <v>81</v>
      </c>
      <c r="D61" s="9" t="s">
        <v>47</v>
      </c>
      <c r="E61" s="9" t="s">
        <v>47</v>
      </c>
      <c r="F61" s="9" t="s">
        <v>47</v>
      </c>
      <c r="G61" s="9" t="s">
        <v>48</v>
      </c>
      <c r="H61" s="9" t="s">
        <v>48</v>
      </c>
      <c r="I61" s="9" t="s">
        <v>49</v>
      </c>
      <c r="J61" s="9">
        <v>4</v>
      </c>
      <c r="K61" s="2" t="str">
        <f>INDEX(AnswerKey!$B$2:$B$7,MATCH(B61,AnswerKey!$A$2:$A$7,0))</f>
        <v>SELL</v>
      </c>
      <c r="L61" s="2" t="str">
        <f>INDEX(AnswerKey!$C$2:$C$7,MATCH(B61,AnswerKey!$A$2:$A$7,0))</f>
        <v>llm</v>
      </c>
      <c r="M61" s="2">
        <f t="shared" si="2"/>
        <v>1</v>
      </c>
      <c r="N61" s="2">
        <f t="shared" si="3"/>
        <v>0</v>
      </c>
    </row>
    <row r="62" spans="1:14" ht="15" customHeight="1" x14ac:dyDescent="0.2">
      <c r="A62" s="2" t="s">
        <v>59</v>
      </c>
      <c r="B62" s="2" t="s">
        <v>21</v>
      </c>
      <c r="C62" s="9" t="s">
        <v>84</v>
      </c>
      <c r="D62" s="9" t="s">
        <v>47</v>
      </c>
      <c r="E62" s="9" t="s">
        <v>47</v>
      </c>
      <c r="F62" s="9" t="s">
        <v>48</v>
      </c>
      <c r="G62" s="9" t="s">
        <v>48</v>
      </c>
      <c r="H62" s="9" t="s">
        <v>48</v>
      </c>
      <c r="I62" s="9" t="s">
        <v>83</v>
      </c>
      <c r="J62" s="9">
        <v>1</v>
      </c>
      <c r="K62" s="2" t="str">
        <f>INDEX(AnswerKey!$B$2:$B$7,MATCH(B62,AnswerKey!$A$2:$A$7,0))</f>
        <v>HOLD</v>
      </c>
      <c r="L62" s="2" t="str">
        <f>INDEX(AnswerKey!$C$2:$C$7,MATCH(B62,AnswerKey!$A$2:$A$7,0))</f>
        <v>template</v>
      </c>
      <c r="M62" s="2">
        <f t="shared" si="2"/>
        <v>0</v>
      </c>
      <c r="N62" s="2">
        <f t="shared" si="3"/>
        <v>0</v>
      </c>
    </row>
    <row r="63" spans="1:14" ht="15" customHeight="1" x14ac:dyDescent="0.2">
      <c r="A63" s="2" t="s">
        <v>59</v>
      </c>
      <c r="B63" s="2" t="s">
        <v>25</v>
      </c>
      <c r="C63" s="9" t="s">
        <v>80</v>
      </c>
      <c r="D63" s="9" t="s">
        <v>47</v>
      </c>
      <c r="E63" s="9" t="s">
        <v>47</v>
      </c>
      <c r="F63" s="9" t="s">
        <v>47</v>
      </c>
      <c r="G63" s="9" t="s">
        <v>48</v>
      </c>
      <c r="H63" s="9" t="s">
        <v>48</v>
      </c>
      <c r="I63" s="9" t="s">
        <v>49</v>
      </c>
      <c r="J63" s="9">
        <v>4</v>
      </c>
      <c r="K63" s="2" t="str">
        <f>INDEX(AnswerKey!$B$2:$B$7,MATCH(B63,AnswerKey!$A$2:$A$7,0))</f>
        <v>BUY</v>
      </c>
      <c r="L63" s="2" t="str">
        <f>INDEX(AnswerKey!$C$2:$C$7,MATCH(B63,AnswerKey!$A$2:$A$7,0))</f>
        <v>llm</v>
      </c>
      <c r="M63" s="2">
        <f t="shared" si="2"/>
        <v>1</v>
      </c>
      <c r="N63" s="2">
        <f t="shared" si="3"/>
        <v>0</v>
      </c>
    </row>
    <row r="64" spans="1:14" ht="15" customHeight="1" x14ac:dyDescent="0.2">
      <c r="A64" s="2" t="s">
        <v>59</v>
      </c>
      <c r="B64" s="2" t="s">
        <v>28</v>
      </c>
      <c r="C64" s="9" t="s">
        <v>81</v>
      </c>
      <c r="D64" s="9" t="s">
        <v>47</v>
      </c>
      <c r="E64" s="9" t="s">
        <v>47</v>
      </c>
      <c r="F64" s="9" t="s">
        <v>47</v>
      </c>
      <c r="G64" s="9" t="s">
        <v>47</v>
      </c>
      <c r="H64" s="9" t="s">
        <v>48</v>
      </c>
      <c r="I64" s="9" t="s">
        <v>83</v>
      </c>
      <c r="J64" s="9">
        <v>1</v>
      </c>
      <c r="K64" s="2" t="str">
        <f>INDEX(AnswerKey!$B$2:$B$7,MATCH(B64,AnswerKey!$A$2:$A$7,0))</f>
        <v>SELL</v>
      </c>
      <c r="L64" s="2" t="str">
        <f>INDEX(AnswerKey!$C$2:$C$7,MATCH(B64,AnswerKey!$A$2:$A$7,0))</f>
        <v>template</v>
      </c>
      <c r="M64" s="2">
        <f t="shared" si="2"/>
        <v>1</v>
      </c>
      <c r="N64" s="2">
        <f t="shared" si="3"/>
        <v>1</v>
      </c>
    </row>
    <row r="65" spans="1:14" ht="15" customHeight="1" x14ac:dyDescent="0.2">
      <c r="A65" s="2" t="s">
        <v>59</v>
      </c>
      <c r="B65" s="2" t="s">
        <v>30</v>
      </c>
      <c r="C65" s="9" t="s">
        <v>46</v>
      </c>
      <c r="D65" s="9" t="s">
        <v>47</v>
      </c>
      <c r="E65" s="9" t="s">
        <v>47</v>
      </c>
      <c r="F65" s="9" t="s">
        <v>47</v>
      </c>
      <c r="G65" s="9" t="s">
        <v>48</v>
      </c>
      <c r="H65" s="9" t="s">
        <v>48</v>
      </c>
      <c r="I65" s="9" t="s">
        <v>83</v>
      </c>
      <c r="J65" s="9">
        <v>2</v>
      </c>
      <c r="K65" s="2" t="str">
        <f>INDEX(AnswerKey!$B$2:$B$7,MATCH(B65,AnswerKey!$A$2:$A$7,0))</f>
        <v>HOLD</v>
      </c>
      <c r="L65" s="2" t="str">
        <f>INDEX(AnswerKey!$C$2:$C$7,MATCH(B65,AnswerKey!$A$2:$A$7,0))</f>
        <v>llm</v>
      </c>
      <c r="M65" s="2">
        <f t="shared" si="2"/>
        <v>1</v>
      </c>
      <c r="N65" s="2">
        <f t="shared" si="3"/>
        <v>0</v>
      </c>
    </row>
    <row r="66" spans="1:14" ht="15" customHeight="1" x14ac:dyDescent="0.2">
      <c r="A66" s="2" t="s">
        <v>59</v>
      </c>
      <c r="B66" s="2" t="s">
        <v>31</v>
      </c>
      <c r="C66" s="9" t="s">
        <v>84</v>
      </c>
      <c r="D66" s="9" t="s">
        <v>47</v>
      </c>
      <c r="E66" s="9" t="s">
        <v>47</v>
      </c>
      <c r="F66" s="9" t="s">
        <v>48</v>
      </c>
      <c r="G66" s="9" t="s">
        <v>48</v>
      </c>
      <c r="H66" s="9" t="s">
        <v>48</v>
      </c>
      <c r="I66" s="9" t="s">
        <v>83</v>
      </c>
      <c r="J66" s="9">
        <v>2</v>
      </c>
      <c r="K66" s="2" t="str">
        <f>INDEX(AnswerKey!$B$2:$B$7,MATCH(B66,AnswerKey!$A$2:$A$7,0))</f>
        <v>BUY</v>
      </c>
      <c r="L66" s="2" t="str">
        <f>INDEX(AnswerKey!$C$2:$C$7,MATCH(B66,AnswerKey!$A$2:$A$7,0))</f>
        <v>template</v>
      </c>
      <c r="M66" s="2">
        <f t="shared" ref="M66:M73" si="4">IF(C66="","",IF(UPPER(C66)=UPPER(K66),1,0))</f>
        <v>0</v>
      </c>
      <c r="N66" s="2">
        <f t="shared" ref="N66:N73" si="5">IF(C66="","",IF(OR(G66="Y",H66="Y"),1,0))</f>
        <v>0</v>
      </c>
    </row>
    <row r="67" spans="1:14" ht="15" customHeight="1" x14ac:dyDescent="0.2">
      <c r="A67" s="2" t="s">
        <v>59</v>
      </c>
      <c r="B67" s="2" t="s">
        <v>32</v>
      </c>
      <c r="C67" s="9" t="s">
        <v>81</v>
      </c>
      <c r="D67" s="9" t="s">
        <v>47</v>
      </c>
      <c r="E67" s="9" t="s">
        <v>48</v>
      </c>
      <c r="F67" s="9" t="s">
        <v>47</v>
      </c>
      <c r="G67" s="9" t="s">
        <v>47</v>
      </c>
      <c r="H67" s="9" t="s">
        <v>48</v>
      </c>
      <c r="I67" s="9" t="s">
        <v>82</v>
      </c>
      <c r="J67" s="9">
        <v>4</v>
      </c>
      <c r="K67" s="2" t="str">
        <f>INDEX(AnswerKey!$B$2:$B$7,MATCH(B67,AnswerKey!$A$2:$A$7,0))</f>
        <v>SELL</v>
      </c>
      <c r="L67" s="2" t="str">
        <f>INDEX(AnswerKey!$C$2:$C$7,MATCH(B67,AnswerKey!$A$2:$A$7,0))</f>
        <v>llm</v>
      </c>
      <c r="M67" s="2">
        <f t="shared" si="4"/>
        <v>1</v>
      </c>
      <c r="N67" s="2">
        <f t="shared" si="5"/>
        <v>1</v>
      </c>
    </row>
    <row r="68" spans="1:14" ht="15" customHeight="1" x14ac:dyDescent="0.2">
      <c r="A68" s="2" t="s">
        <v>60</v>
      </c>
      <c r="B68" s="2" t="s">
        <v>21</v>
      </c>
      <c r="C68" s="9" t="s">
        <v>46</v>
      </c>
      <c r="D68" s="9" t="s">
        <v>47</v>
      </c>
      <c r="E68" s="9" t="s">
        <v>47</v>
      </c>
      <c r="F68" s="9" t="s">
        <v>47</v>
      </c>
      <c r="G68" s="9" t="s">
        <v>48</v>
      </c>
      <c r="H68" s="9" t="s">
        <v>48</v>
      </c>
      <c r="I68" s="9" t="s">
        <v>49</v>
      </c>
      <c r="J68" s="9">
        <v>3</v>
      </c>
      <c r="K68" s="2" t="str">
        <f>INDEX(AnswerKey!$B$2:$B$7,MATCH(B68,AnswerKey!$A$2:$A$7,0))</f>
        <v>HOLD</v>
      </c>
      <c r="L68" s="2" t="str">
        <f>INDEX(AnswerKey!$C$2:$C$7,MATCH(B68,AnswerKey!$A$2:$A$7,0))</f>
        <v>template</v>
      </c>
      <c r="M68" s="2">
        <f t="shared" si="4"/>
        <v>1</v>
      </c>
      <c r="N68" s="2">
        <f t="shared" si="5"/>
        <v>0</v>
      </c>
    </row>
    <row r="69" spans="1:14" ht="15" customHeight="1" x14ac:dyDescent="0.2">
      <c r="A69" s="2" t="s">
        <v>60</v>
      </c>
      <c r="B69" s="2" t="s">
        <v>25</v>
      </c>
      <c r="C69" s="9" t="s">
        <v>80</v>
      </c>
      <c r="D69" s="9" t="s">
        <v>47</v>
      </c>
      <c r="E69" s="9" t="s">
        <v>47</v>
      </c>
      <c r="F69" s="9" t="s">
        <v>47</v>
      </c>
      <c r="G69" s="9" t="s">
        <v>48</v>
      </c>
      <c r="H69" s="9" t="s">
        <v>48</v>
      </c>
      <c r="I69" s="9" t="s">
        <v>49</v>
      </c>
      <c r="J69" s="9">
        <v>4</v>
      </c>
      <c r="K69" s="2" t="str">
        <f>INDEX(AnswerKey!$B$2:$B$7,MATCH(B69,AnswerKey!$A$2:$A$7,0))</f>
        <v>BUY</v>
      </c>
      <c r="L69" s="2" t="str">
        <f>INDEX(AnswerKey!$C$2:$C$7,MATCH(B69,AnswerKey!$A$2:$A$7,0))</f>
        <v>llm</v>
      </c>
      <c r="M69" s="2">
        <f t="shared" si="4"/>
        <v>1</v>
      </c>
      <c r="N69" s="2">
        <f t="shared" si="5"/>
        <v>0</v>
      </c>
    </row>
    <row r="70" spans="1:14" ht="15" customHeight="1" x14ac:dyDescent="0.2">
      <c r="A70" s="2" t="s">
        <v>60</v>
      </c>
      <c r="B70" s="2" t="s">
        <v>28</v>
      </c>
      <c r="C70" s="9" t="s">
        <v>81</v>
      </c>
      <c r="D70" s="9" t="s">
        <v>47</v>
      </c>
      <c r="E70" s="9" t="s">
        <v>47</v>
      </c>
      <c r="F70" s="9" t="s">
        <v>47</v>
      </c>
      <c r="G70" s="9" t="s">
        <v>48</v>
      </c>
      <c r="H70" s="9" t="s">
        <v>48</v>
      </c>
      <c r="I70" s="9" t="s">
        <v>82</v>
      </c>
      <c r="J70" s="9">
        <v>3</v>
      </c>
      <c r="K70" s="2" t="str">
        <f>INDEX(AnswerKey!$B$2:$B$7,MATCH(B70,AnswerKey!$A$2:$A$7,0))</f>
        <v>SELL</v>
      </c>
      <c r="L70" s="2" t="str">
        <f>INDEX(AnswerKey!$C$2:$C$7,MATCH(B70,AnswerKey!$A$2:$A$7,0))</f>
        <v>template</v>
      </c>
      <c r="M70" s="2">
        <f t="shared" si="4"/>
        <v>1</v>
      </c>
      <c r="N70" s="2">
        <f t="shared" si="5"/>
        <v>0</v>
      </c>
    </row>
    <row r="71" spans="1:14" ht="15" customHeight="1" x14ac:dyDescent="0.2">
      <c r="A71" s="2" t="s">
        <v>60</v>
      </c>
      <c r="B71" s="2" t="s">
        <v>30</v>
      </c>
      <c r="C71" s="9" t="s">
        <v>46</v>
      </c>
      <c r="D71" s="9" t="s">
        <v>47</v>
      </c>
      <c r="E71" s="9" t="s">
        <v>47</v>
      </c>
      <c r="F71" s="9" t="s">
        <v>47</v>
      </c>
      <c r="G71" s="9" t="s">
        <v>48</v>
      </c>
      <c r="H71" s="9" t="s">
        <v>48</v>
      </c>
      <c r="I71" s="9" t="s">
        <v>49</v>
      </c>
      <c r="J71" s="9">
        <v>4</v>
      </c>
      <c r="K71" s="2" t="str">
        <f>INDEX(AnswerKey!$B$2:$B$7,MATCH(B71,AnswerKey!$A$2:$A$7,0))</f>
        <v>HOLD</v>
      </c>
      <c r="L71" s="2" t="str">
        <f>INDEX(AnswerKey!$C$2:$C$7,MATCH(B71,AnswerKey!$A$2:$A$7,0))</f>
        <v>llm</v>
      </c>
      <c r="M71" s="2">
        <f t="shared" si="4"/>
        <v>1</v>
      </c>
      <c r="N71" s="2">
        <f t="shared" si="5"/>
        <v>0</v>
      </c>
    </row>
    <row r="72" spans="1:14" ht="15" customHeight="1" x14ac:dyDescent="0.2">
      <c r="A72" s="2" t="s">
        <v>60</v>
      </c>
      <c r="B72" s="2" t="s">
        <v>31</v>
      </c>
      <c r="C72" s="9" t="s">
        <v>80</v>
      </c>
      <c r="D72" s="9" t="s">
        <v>47</v>
      </c>
      <c r="E72" s="9" t="s">
        <v>47</v>
      </c>
      <c r="F72" s="9" t="s">
        <v>47</v>
      </c>
      <c r="G72" s="9" t="s">
        <v>48</v>
      </c>
      <c r="H72" s="9" t="s">
        <v>48</v>
      </c>
      <c r="I72" s="9" t="s">
        <v>49</v>
      </c>
      <c r="J72" s="9">
        <v>4</v>
      </c>
      <c r="K72" s="2" t="str">
        <f>INDEX(AnswerKey!$B$2:$B$7,MATCH(B72,AnswerKey!$A$2:$A$7,0))</f>
        <v>BUY</v>
      </c>
      <c r="L72" s="2" t="str">
        <f>INDEX(AnswerKey!$C$2:$C$7,MATCH(B72,AnswerKey!$A$2:$A$7,0))</f>
        <v>template</v>
      </c>
      <c r="M72" s="2">
        <f t="shared" si="4"/>
        <v>1</v>
      </c>
      <c r="N72" s="2">
        <f t="shared" si="5"/>
        <v>0</v>
      </c>
    </row>
    <row r="73" spans="1:14" ht="15" customHeight="1" x14ac:dyDescent="0.2">
      <c r="A73" s="2" t="s">
        <v>60</v>
      </c>
      <c r="B73" s="2" t="s">
        <v>32</v>
      </c>
      <c r="C73" s="9" t="s">
        <v>81</v>
      </c>
      <c r="D73" s="9" t="s">
        <v>47</v>
      </c>
      <c r="E73" s="9" t="s">
        <v>47</v>
      </c>
      <c r="F73" s="9" t="s">
        <v>47</v>
      </c>
      <c r="G73" s="9" t="s">
        <v>48</v>
      </c>
      <c r="H73" s="9" t="s">
        <v>48</v>
      </c>
      <c r="I73" s="9" t="s">
        <v>49</v>
      </c>
      <c r="J73" s="9">
        <v>4</v>
      </c>
      <c r="K73" s="2" t="str">
        <f>INDEX(AnswerKey!$B$2:$B$7,MATCH(B73,AnswerKey!$A$2:$A$7,0))</f>
        <v>SELL</v>
      </c>
      <c r="L73" s="2" t="str">
        <f>INDEX(AnswerKey!$C$2:$C$7,MATCH(B73,AnswerKey!$A$2:$A$7,0))</f>
        <v>llm</v>
      </c>
      <c r="M73" s="2">
        <f t="shared" si="4"/>
        <v>1</v>
      </c>
      <c r="N73" s="2">
        <f t="shared" si="5"/>
        <v>0</v>
      </c>
    </row>
    <row r="75" spans="1:14" ht="15" customHeight="1" x14ac:dyDescent="0.2">
      <c r="A75" s="5" t="s">
        <v>61</v>
      </c>
    </row>
  </sheetData>
  <dataValidations count="4">
    <dataValidation type="list" allowBlank="1" sqref="C2:C73" xr:uid="{E10295D2-B678-514C-BBD0-8EBC3D869DE0}">
      <formula1>"Buy,Sell,Hold,Not sure"</formula1>
      <formula2>0</formula2>
    </dataValidation>
    <dataValidation type="list" allowBlank="1" sqref="D2:H73" xr:uid="{822BBBB4-D926-064E-BC7A-162BD31A0CB6}">
      <formula1>"Y,N"</formula1>
      <formula2>0</formula2>
    </dataValidation>
    <dataValidation type="list" allowBlank="1" sqref="I2:I73" xr:uid="{C7C2329D-A46C-DC4E-B497-79B8F40F4568}">
      <formula1>"Certain,Conditional,Cannot tell"</formula1>
      <formula2>0</formula2>
    </dataValidation>
    <dataValidation type="whole" allowBlank="1" sqref="J2:J73" xr:uid="{4B196A80-3FD7-E742-A9EC-30F39381DF0F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3" width="14" customWidth="1"/>
    <col min="4" max="4" width="16" customWidth="1"/>
    <col min="5" max="5" width="60" customWidth="1"/>
  </cols>
  <sheetData>
    <row r="1" spans="1:5" ht="15" customHeight="1" x14ac:dyDescent="0.2">
      <c r="A1" s="3" t="s">
        <v>62</v>
      </c>
      <c r="B1" s="3" t="s">
        <v>63</v>
      </c>
      <c r="C1" s="3" t="s">
        <v>64</v>
      </c>
      <c r="D1" s="3" t="s">
        <v>65</v>
      </c>
      <c r="E1" s="3" t="s">
        <v>20</v>
      </c>
    </row>
    <row r="2" spans="1:5" ht="15" customHeight="1" x14ac:dyDescent="0.2">
      <c r="A2" s="2" t="s">
        <v>66</v>
      </c>
      <c r="B2" s="2">
        <f>COUNTA(Responses!$C$2:$C$73)</f>
        <v>72</v>
      </c>
      <c r="C2" s="2">
        <f>COUNTIFS(Responses!$L$2:$L$73,"llm",Responses!$C$2:$C$73,"&lt;&gt;")</f>
        <v>36</v>
      </c>
      <c r="D2" s="2">
        <f>COUNTIFS(Responses!$L$2:$L$73,"template",Responses!$C$2:$C$73,"&lt;&gt;")</f>
        <v>36</v>
      </c>
      <c r="E2" s="2"/>
    </row>
    <row r="3" spans="1:5" ht="15" customHeight="1" x14ac:dyDescent="0.2">
      <c r="A3" s="2" t="s">
        <v>67</v>
      </c>
      <c r="B3" s="6">
        <f>IFERROR(SUM(Responses!$M$2:$M$73)/COUNT(Responses!$M$2:$M$73),"")</f>
        <v>0.91666666666666663</v>
      </c>
      <c r="C3" s="6">
        <f>IFERROR(SUMIFS(Responses!$M$2:$M$73,Responses!$L$2:$L$73,"llm")/COUNTIFS(Responses!$L$2:$L$73,"llm",Responses!$M$2:$M$73,"&gt;=0"),"")</f>
        <v>1</v>
      </c>
      <c r="D3" s="6">
        <f>IFERROR(SUMIFS(Responses!$M$2:$M$73,Responses!$L$2:$L$73,"template")/COUNTIFS(Responses!$L$2:$L$73,"template",Responses!$M$2:$M$73,"&gt;=0"),"")</f>
        <v>0.83333333333333337</v>
      </c>
      <c r="E3" s="2" t="s">
        <v>68</v>
      </c>
    </row>
    <row r="4" spans="1:5" ht="15" customHeight="1" x14ac:dyDescent="0.2">
      <c r="A4" s="2" t="s">
        <v>69</v>
      </c>
      <c r="B4" s="6">
        <f>IFERROR(SUM(Responses!$N$2:$N$73)/COUNT(Responses!$N$2:$N$73),"")</f>
        <v>0.1388888888888889</v>
      </c>
      <c r="C4" s="6">
        <f>IFERROR(SUMIFS(Responses!$N$2:$N$73,Responses!$L$2:$L$73,"llm")/COUNTIFS(Responses!$L$2:$L$73,"llm",Responses!$N$2:$N$73,"&gt;=0"),"")</f>
        <v>0.19444444444444445</v>
      </c>
      <c r="D4" s="6">
        <f>IFERROR(SUMIFS(Responses!$N$2:$N$73,Responses!$L$2:$L$73,"template")/COUNTIFS(Responses!$L$2:$L$73,"template",Responses!$N$2:$N$73,"&gt;=0"),"")</f>
        <v>8.3333333333333329E-2</v>
      </c>
      <c r="E4" s="2" t="s">
        <v>70</v>
      </c>
    </row>
    <row r="5" spans="1:5" ht="15" customHeight="1" x14ac:dyDescent="0.2">
      <c r="A5" s="2" t="s">
        <v>71</v>
      </c>
      <c r="B5" s="6">
        <f>IFERROR(COUNTIF(Responses!$I$2:$I$73,"Certain")/COUNTA(Responses!$I$2:$I$73),"")</f>
        <v>0.22222222222222221</v>
      </c>
      <c r="C5" s="6">
        <f>IFERROR(COUNTIFS(Responses!$I$2:$I$73,"Certain",Responses!$L$2:$L$73,"llm")/COUNTIFS(Responses!$L$2:$L$73,"llm",Responses!$I$2:$I$73,"&lt;&gt;"),"")</f>
        <v>0.33333333333333331</v>
      </c>
      <c r="D5" s="6">
        <f>IFERROR(COUNTIFS(Responses!$I$2:$I$73,"Certain",Responses!$L$2:$L$73,"template")/COUNTIFS(Responses!$L$2:$L$73,"template",Responses!$I$2:$I$73,"&lt;&gt;"),"")</f>
        <v>0.1111111111111111</v>
      </c>
      <c r="E5" s="2" t="s">
        <v>72</v>
      </c>
    </row>
    <row r="6" spans="1:5" ht="15" customHeight="1" x14ac:dyDescent="0.2">
      <c r="A6" s="2" t="s">
        <v>73</v>
      </c>
      <c r="B6" s="6">
        <f>IFERROR(COUNTIF(Responses!$I$2:$I$73,"Conditional")/COUNTA(Responses!$I$2:$I$73),"")</f>
        <v>0.59722222222222221</v>
      </c>
      <c r="C6" s="6">
        <f>IFERROR(COUNTIFS(Responses!$I$2:$I$73,"Conditional",Responses!$L$2:$L$73,"llm")/COUNTIFS(Responses!$L$2:$L$73,"llm",Responses!$I$2:$I$73,"&lt;&gt;"),"")</f>
        <v>0.58333333333333337</v>
      </c>
      <c r="D6" s="6">
        <f>IFERROR(COUNTIFS(Responses!$I$2:$I$73,"Conditional",Responses!$L$2:$L$73,"template")/COUNTIFS(Responses!$L$2:$L$73,"template",Responses!$I$2:$I$73,"&lt;&gt;"),"")</f>
        <v>0.61111111111111116</v>
      </c>
      <c r="E6" s="2"/>
    </row>
    <row r="7" spans="1:5" ht="15" customHeight="1" x14ac:dyDescent="0.2">
      <c r="A7" s="2" t="s">
        <v>74</v>
      </c>
      <c r="B7" s="2">
        <f>IFERROR(AVERAGE(Responses!$J$2:$J$73),"")</f>
        <v>3.25</v>
      </c>
      <c r="C7" s="2">
        <f>IFERROR(AVERAGEIFS(Responses!$J$2:$J$73,Responses!$L$2:$L$73,"llm"),"")</f>
        <v>3.8333333333333335</v>
      </c>
      <c r="D7" s="2">
        <f>IFERROR(AVERAGEIFS(Responses!$J$2:$J$73,Responses!$L$2:$L$73,"template"),"")</f>
        <v>2.6666666666666665</v>
      </c>
      <c r="E7" s="2"/>
    </row>
    <row r="8" spans="1:5" ht="15" customHeight="1" x14ac:dyDescent="0.2">
      <c r="A8" s="2"/>
      <c r="B8" s="2"/>
      <c r="C8" s="2"/>
      <c r="D8" s="2"/>
      <c r="E8" s="2"/>
    </row>
    <row r="9" spans="1:5" ht="15" customHeight="1" x14ac:dyDescent="0.2">
      <c r="A9" s="7" t="s">
        <v>75</v>
      </c>
      <c r="B9" s="8" t="s">
        <v>76</v>
      </c>
      <c r="C9" s="8" t="s">
        <v>77</v>
      </c>
      <c r="D9" s="8" t="s">
        <v>78</v>
      </c>
      <c r="E9" s="7" t="s">
        <v>79</v>
      </c>
    </row>
    <row r="10" spans="1:5" ht="15" customHeight="1" x14ac:dyDescent="0.2">
      <c r="A10" s="2" t="s">
        <v>21</v>
      </c>
      <c r="B10" s="6">
        <f>IFERROR(SUMIFS(Responses!$M$2:$M$73,Responses!$B$2:$B$73,"S1")/COUNTIFS(Responses!$B$2:$B$73,"S1",Responses!$M$2:$M$73,"&gt;=0"),"")</f>
        <v>0.91666666666666663</v>
      </c>
      <c r="C10" s="6">
        <f>IFERROR(SUMIFS(Responses!$N$2:$N$73,Responses!$B$2:$B$73,"S1")/COUNTIFS(Responses!$B$2:$B$73,"S1",Responses!$N$2:$N$73,"&gt;=0"),"")</f>
        <v>8.3333333333333329E-2</v>
      </c>
      <c r="D10" s="6">
        <f>IFERROR(COUNTIFS(Responses!$I$2:$I$73,"Certain",Responses!$B$2:$B$73,"S1")/COUNTIFS(Responses!$B$2:$B$73,"S1",Responses!$I$2:$I$73,"&lt;&gt;"),"")</f>
        <v>8.3333333333333329E-2</v>
      </c>
      <c r="E10" s="2">
        <f>IFERROR(AVERAGEIFS(Responses!$J$2:$J$73,Responses!$B$2:$B$73,"S1"),"")</f>
        <v>2.75</v>
      </c>
    </row>
    <row r="11" spans="1:5" ht="15" customHeight="1" x14ac:dyDescent="0.2">
      <c r="A11" s="2" t="s">
        <v>25</v>
      </c>
      <c r="B11" s="6">
        <f>IFERROR(SUMIFS(Responses!$M$2:$M$73,Responses!$B$2:$B$73,"S2")/COUNTIFS(Responses!$B$2:$B$73,"S2",Responses!$M$2:$M$73,"&gt;=0"),"")</f>
        <v>1</v>
      </c>
      <c r="C11" s="6">
        <f>IFERROR(SUMIFS(Responses!$N$2:$N$73,Responses!$B$2:$B$73,"S2")/COUNTIFS(Responses!$B$2:$B$73,"S2",Responses!$N$2:$N$73,"&gt;=0"),"")</f>
        <v>0.25</v>
      </c>
      <c r="D11" s="6">
        <f>IFERROR(COUNTIFS(Responses!$I$2:$I$73,"Certain",Responses!$B$2:$B$73,"S2")/COUNTIFS(Responses!$B$2:$B$73,"S2",Responses!$I$2:$I$73,"&lt;&gt;"),"")</f>
        <v>0.25</v>
      </c>
      <c r="E11" s="2">
        <f>IFERROR(AVERAGEIFS(Responses!$J$2:$J$73,Responses!$B$2:$B$73,"S2"),"")</f>
        <v>4.333333333333333</v>
      </c>
    </row>
    <row r="12" spans="1:5" ht="15" customHeight="1" x14ac:dyDescent="0.2">
      <c r="A12" s="2" t="s">
        <v>28</v>
      </c>
      <c r="B12" s="6">
        <f>IFERROR(SUMIFS(Responses!$M$2:$M$73,Responses!$B$2:$B$73,"S3")/COUNTIFS(Responses!$B$2:$B$73,"S3",Responses!$M$2:$M$73,"&gt;=0"),"")</f>
        <v>0.66666666666666663</v>
      </c>
      <c r="C12" s="6">
        <f>IFERROR(SUMIFS(Responses!$N$2:$N$73,Responses!$B$2:$B$73,"S3")/COUNTIFS(Responses!$B$2:$B$73,"S3",Responses!$N$2:$N$73,"&gt;=0"),"")</f>
        <v>0.16666666666666666</v>
      </c>
      <c r="D12" s="6">
        <f>IFERROR(COUNTIFS(Responses!$I$2:$I$73,"Certain",Responses!$B$2:$B$73,"S3")/COUNTIFS(Responses!$B$2:$B$73,"S3",Responses!$I$2:$I$73,"&lt;&gt;"),"")</f>
        <v>8.3333333333333329E-2</v>
      </c>
      <c r="E12" s="2">
        <f>IFERROR(AVERAGEIFS(Responses!$J$2:$J$73,Responses!$B$2:$B$73,"S3"),"")</f>
        <v>2.1666666666666665</v>
      </c>
    </row>
    <row r="13" spans="1:5" ht="15" customHeight="1" x14ac:dyDescent="0.2">
      <c r="A13" s="2" t="s">
        <v>30</v>
      </c>
      <c r="B13" s="6">
        <f>IFERROR(SUMIFS(Responses!$M$2:$M$73,Responses!$B$2:$B$73,"S4")/COUNTIFS(Responses!$B$2:$B$73,"S4",Responses!$M$2:$M$73,"&gt;=0"),"")</f>
        <v>1</v>
      </c>
      <c r="C13" s="6">
        <f>IFERROR(SUMIFS(Responses!$N$2:$N$73,Responses!$B$2:$B$73,"S4")/COUNTIFS(Responses!$B$2:$B$73,"S4",Responses!$N$2:$N$73,"&gt;=0"),"")</f>
        <v>8.3333333333333329E-2</v>
      </c>
      <c r="D13" s="6">
        <f>IFERROR(COUNTIFS(Responses!$I$2:$I$73,"Certain",Responses!$B$2:$B$73,"S4")/COUNTIFS(Responses!$B$2:$B$73,"S4",Responses!$I$2:$I$73,"&lt;&gt;"),"")</f>
        <v>8.3333333333333329E-2</v>
      </c>
      <c r="E13" s="2">
        <f>IFERROR(AVERAGEIFS(Responses!$J$2:$J$73,Responses!$B$2:$B$73,"S4"),"")</f>
        <v>3</v>
      </c>
    </row>
    <row r="14" spans="1:5" ht="15" customHeight="1" x14ac:dyDescent="0.2">
      <c r="A14" s="2" t="s">
        <v>31</v>
      </c>
      <c r="B14" s="6">
        <f>IFERROR(SUMIFS(Responses!$M$2:$M$73,Responses!$B$2:$B$73,"S5")/COUNTIFS(Responses!$B$2:$B$73,"S5",Responses!$M$2:$M$73,"&gt;=0"),"")</f>
        <v>0.91666666666666663</v>
      </c>
      <c r="C14" s="6">
        <f>IFERROR(SUMIFS(Responses!$N$2:$N$73,Responses!$B$2:$B$73,"S5")/COUNTIFS(Responses!$B$2:$B$73,"S5",Responses!$N$2:$N$73,"&gt;=0"),"")</f>
        <v>0</v>
      </c>
      <c r="D14" s="6">
        <f>IFERROR(COUNTIFS(Responses!$I$2:$I$73,"Certain",Responses!$B$2:$B$73,"S5")/COUNTIFS(Responses!$B$2:$B$73,"S5",Responses!$I$2:$I$73,"&lt;&gt;"),"")</f>
        <v>0.16666666666666666</v>
      </c>
      <c r="E14" s="2">
        <f>IFERROR(AVERAGEIFS(Responses!$J$2:$J$73,Responses!$B$2:$B$73,"S5"),"")</f>
        <v>3.0833333333333335</v>
      </c>
    </row>
    <row r="15" spans="1:5" ht="15" customHeight="1" x14ac:dyDescent="0.2">
      <c r="A15" s="2" t="s">
        <v>32</v>
      </c>
      <c r="B15" s="6">
        <f>IFERROR(SUMIFS(Responses!$M$2:$M$73,Responses!$B$2:$B$73,"S6")/COUNTIFS(Responses!$B$2:$B$73,"S6",Responses!$M$2:$M$73,"&gt;=0"),"")</f>
        <v>1</v>
      </c>
      <c r="C15" s="6">
        <f>IFERROR(SUMIFS(Responses!$N$2:$N$73,Responses!$B$2:$B$73,"S6")/COUNTIFS(Responses!$B$2:$B$73,"S6",Responses!$N$2:$N$73,"&gt;=0"),"")</f>
        <v>0.25</v>
      </c>
      <c r="D15" s="6">
        <f>IFERROR(COUNTIFS(Responses!$I$2:$I$73,"Certain",Responses!$B$2:$B$73,"S6")/COUNTIFS(Responses!$B$2:$B$73,"S6",Responses!$I$2:$I$73,"&lt;&gt;"),"")</f>
        <v>0.66666666666666663</v>
      </c>
      <c r="E15" s="2">
        <f>IFERROR(AVERAGEIFS(Responses!$J$2:$J$73,Responses!$B$2:$B$73,"S6"),"")</f>
        <v>4.166666666666667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AnswerKey</vt:lpstr>
      <vt:lpstr>Responses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Nimesh Wijenayake</cp:lastModifiedBy>
  <cp:revision>0</cp:revision>
  <dcterms:created xsi:type="dcterms:W3CDTF">2026-09-20T14:04:28Z</dcterms:created>
  <dcterms:modified xsi:type="dcterms:W3CDTF">2026-09-21T15:52:57Z</dcterms:modified>
  <dc:language>en-US</dc:language>
</cp:coreProperties>
</file>